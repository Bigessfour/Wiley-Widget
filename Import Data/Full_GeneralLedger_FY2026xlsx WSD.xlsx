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wn of Wiley\Documents\"/>
    </mc:Choice>
  </mc:AlternateContent>
  <xr:revisionPtr revIDLastSave="0" documentId="8_{E846B1DA-4ACE-4569-B234-A6665F0996B6}" xr6:coauthVersionLast="47" xr6:coauthVersionMax="47" xr10:uidLastSave="{00000000-0000-0000-0000-000000000000}"/>
  <bookViews>
    <workbookView xWindow="-120" yWindow="-120" windowWidth="29040" windowHeight="15720" activeTab="1" xr2:uid="{856CB621-B6F6-4CB1-B3D8-1F3B3FCC6215}"/>
  </bookViews>
  <sheets>
    <sheet name="QuickBooks Desktop Export Tips" sheetId="2" r:id="rId1"/>
    <sheet name="Sheet1" sheetId="1" r:id="rId2"/>
  </sheets>
  <definedNames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Titles" localSheetId="1">Sheet1!$A:$B,Sheet1!$1:$1</definedName>
    <definedName name="QB_COLUMN_1" localSheetId="1" hidden="1">Sheet1!$C$1</definedName>
    <definedName name="QB_COLUMN_20" localSheetId="1" hidden="1">Sheet1!$O$1</definedName>
    <definedName name="QB_COLUMN_3" localSheetId="1" hidden="1">Sheet1!$E$1</definedName>
    <definedName name="QB_COLUMN_30" localSheetId="1" hidden="1">Sheet1!$Q$1</definedName>
    <definedName name="QB_COLUMN_31" localSheetId="1" hidden="1">Sheet1!$S$1</definedName>
    <definedName name="QB_COLUMN_4" localSheetId="1" hidden="1">Sheet1!$G$1</definedName>
    <definedName name="QB_COLUMN_5" localSheetId="1" hidden="1">Sheet1!$I$1</definedName>
    <definedName name="QB_COLUMN_7" localSheetId="1" hidden="1">Sheet1!$K$1</definedName>
    <definedName name="QB_COLUMN_8" localSheetId="1" hidden="1">Sheet1!$M$1</definedName>
    <definedName name="QB_DATA_0" localSheetId="1" hidden="1">Sheet1!$2:$2,Sheet1!$3:$3,Sheet1!$4:$4,Sheet1!$5:$5,Sheet1!$6:$6,Sheet1!$7:$7,Sheet1!$8:$8,Sheet1!$9:$9,Sheet1!$10:$10,Sheet1!$11:$11,Sheet1!$12:$12,Sheet1!$13:$13,Sheet1!$14:$14,Sheet1!$15:$15,Sheet1!$16:$16,Sheet1!$17:$17</definedName>
    <definedName name="QB_DATA_1" localSheetId="1" hidden="1">Sheet1!$18:$18,Sheet1!$19:$19,Sheet1!$20:$20,Sheet1!$21:$21,Sheet1!$22:$22,Sheet1!$23:$23,Sheet1!$24:$24,Sheet1!$25:$25,Sheet1!$26:$26,Sheet1!$27:$27,Sheet1!$28:$28,Sheet1!$29:$29,Sheet1!$30:$30,Sheet1!$31:$31,Sheet1!$32:$32,Sheet1!$33:$33</definedName>
    <definedName name="QB_DATA_10" localSheetId="1" hidden="1">Sheet1!$214:$214,Sheet1!$216:$216,Sheet1!$218:$218,Sheet1!$219:$219,Sheet1!$220:$220,Sheet1!$221:$221,Sheet1!$222:$222,Sheet1!$223:$223,Sheet1!$224:$224,Sheet1!$225:$225,Sheet1!$226:$226,Sheet1!$227:$227,Sheet1!$229:$229,Sheet1!$230:$230,Sheet1!$231:$231,Sheet1!$232:$232</definedName>
    <definedName name="QB_DATA_11" localSheetId="1" hidden="1">Sheet1!$234:$234,Sheet1!$235:$235,Sheet1!$237:$237,Sheet1!$238:$238,Sheet1!$239:$239,Sheet1!$241:$241,Sheet1!$243:$243,Sheet1!$245:$245,Sheet1!$247:$247,Sheet1!$249:$249,Sheet1!$251:$251,Sheet1!$253:$253,Sheet1!$254:$254,Sheet1!$256:$256,Sheet1!$258:$258,Sheet1!$260:$260</definedName>
    <definedName name="QB_DATA_12" localSheetId="1" hidden="1">Sheet1!$262:$262,Sheet1!$263:$263,Sheet1!$264:$264,Sheet1!$265:$265,Sheet1!$267:$267,Sheet1!$269:$269,Sheet1!$270:$270,Sheet1!$271:$271,Sheet1!$273:$273,Sheet1!$275:$275</definedName>
    <definedName name="QB_DATA_2" localSheetId="1" hidden="1">Sheet1!$34:$34,Sheet1!$35:$35,Sheet1!$36:$36,Sheet1!$37:$37,Sheet1!$38:$38,Sheet1!$39:$39,Sheet1!$40:$40,Sheet1!$41:$41,Sheet1!$42:$42,Sheet1!$43:$43,Sheet1!$44:$44,Sheet1!$45:$45,Sheet1!$46:$46,Sheet1!$47:$47,Sheet1!$48:$48,Sheet1!$49:$49</definedName>
    <definedName name="QB_DATA_3" localSheetId="1" hidden="1">Sheet1!$50:$50,Sheet1!$51:$51,Sheet1!$52:$52,Sheet1!$53:$53,Sheet1!$54:$54,Sheet1!$55:$55,Sheet1!$57:$57,Sheet1!$59:$59,Sheet1!$61:$61,Sheet1!$63:$63,Sheet1!$65:$65,Sheet1!$66:$66,Sheet1!$68:$68,Sheet1!$70:$70,Sheet1!$72:$72,Sheet1!$74:$74</definedName>
    <definedName name="QB_DATA_4" localSheetId="1" hidden="1">Sheet1!$76:$76,Sheet1!$78:$78,Sheet1!$80:$80,Sheet1!$82:$82,Sheet1!$84:$84,Sheet1!$86:$86,Sheet1!$88:$88,Sheet1!$90:$90,Sheet1!$92:$92,Sheet1!$94:$94,Sheet1!$96:$96,Sheet1!$98:$98,Sheet1!$100:$100,Sheet1!$102:$102,Sheet1!$104:$104,Sheet1!$106:$106</definedName>
    <definedName name="QB_DATA_5" localSheetId="1" hidden="1">Sheet1!$108:$108,Sheet1!$110:$110,Sheet1!$111:$111,Sheet1!$112:$112,Sheet1!$113:$113,Sheet1!$114:$114,Sheet1!$115:$115,Sheet1!$116:$116,Sheet1!$117:$117,Sheet1!$118:$118,Sheet1!$119:$119,Sheet1!$120:$120,Sheet1!$121:$121,Sheet1!$122:$122,Sheet1!$123:$123,Sheet1!$124:$124</definedName>
    <definedName name="QB_DATA_6" localSheetId="1" hidden="1">Sheet1!$125:$125,Sheet1!$126:$126,Sheet1!$128:$128,Sheet1!$130:$130,Sheet1!$132:$132,Sheet1!$133:$133,Sheet1!$134:$134,Sheet1!$135:$135,Sheet1!$136:$136,Sheet1!$138:$138,Sheet1!$140:$140,Sheet1!$142:$142,Sheet1!$144:$144,Sheet1!$146:$146,Sheet1!$148:$148,Sheet1!$150:$150</definedName>
    <definedName name="QB_DATA_7" localSheetId="1" hidden="1">Sheet1!$151:$151,Sheet1!$152:$152,Sheet1!$153:$153,Sheet1!$155:$155,Sheet1!$157:$157,Sheet1!$159:$159,Sheet1!$161:$161,Sheet1!$162:$162,Sheet1!$163:$163,Sheet1!$164:$164,Sheet1!$166:$166,Sheet1!$168:$168,Sheet1!$170:$170,Sheet1!$172:$172,Sheet1!$174:$174,Sheet1!$175:$175</definedName>
    <definedName name="QB_DATA_8" localSheetId="1" hidden="1">Sheet1!$176:$176,Sheet1!$177:$177,Sheet1!$178:$178,Sheet1!$179:$179,Sheet1!$180:$180,Sheet1!$182:$182,Sheet1!$184:$184,Sheet1!$185:$185,Sheet1!$186:$186,Sheet1!$187:$187,Sheet1!$189:$189,Sheet1!$190:$190,Sheet1!$192:$192,Sheet1!$193:$193,Sheet1!$194:$194,Sheet1!$195:$195</definedName>
    <definedName name="QB_DATA_9" localSheetId="1" hidden="1">Sheet1!$196:$196,Sheet1!$197:$197,Sheet1!$198:$198,Sheet1!$200:$200,Sheet1!$202:$202,Sheet1!$203:$203,Sheet1!$204:$204,Sheet1!$205:$205,Sheet1!$206:$206,Sheet1!$207:$207,Sheet1!$208:$208,Sheet1!$209:$209,Sheet1!$210:$210,Sheet1!$211:$211,Sheet1!$212:$212,Sheet1!$213:$213</definedName>
    <definedName name="QB_FORMULA_0" localSheetId="1" hidden="1">Sheet1!$S$3,Sheet1!$S$4,Sheet1!$S$5,Sheet1!$S$6,Sheet1!$S$7,Sheet1!$S$8,Sheet1!$S$9,Sheet1!$S$10,Sheet1!$S$11,Sheet1!$S$12,Sheet1!$S$13,Sheet1!$S$14,Sheet1!$S$15,Sheet1!$S$16,Sheet1!$S$17,Sheet1!$S$18</definedName>
    <definedName name="QB_FORMULA_1" localSheetId="1" hidden="1">Sheet1!$S$19,Sheet1!$S$20,Sheet1!$S$21,Sheet1!$S$22,Sheet1!$S$23,Sheet1!$S$24,Sheet1!$S$25,Sheet1!$S$26,Sheet1!$S$27,Sheet1!$S$28,Sheet1!$S$29,Sheet1!$S$30,Sheet1!$S$31,Sheet1!$S$32,Sheet1!$S$33,Sheet1!$S$34</definedName>
    <definedName name="QB_FORMULA_10" localSheetId="1" hidden="1">Sheet1!$S$207,Sheet1!$S$208,Sheet1!$S$209,Sheet1!$S$210,Sheet1!$S$211,Sheet1!$S$212,Sheet1!$S$213,Sheet1!$S$214,Sheet1!$Q$215,Sheet1!$S$215,Sheet1!$S$217,Sheet1!$S$219,Sheet1!$S$220,Sheet1!$S$221,Sheet1!$S$222,Sheet1!$S$223</definedName>
    <definedName name="QB_FORMULA_11" localSheetId="1" hidden="1">Sheet1!$S$224,Sheet1!$S$225,Sheet1!$S$226,Sheet1!$S$227,Sheet1!$Q$228,Sheet1!$S$228,Sheet1!$S$230,Sheet1!$S$231,Sheet1!$S$232,Sheet1!$Q$233,Sheet1!$S$233,Sheet1!$S$235,Sheet1!$Q$236,Sheet1!$S$236,Sheet1!$S$238,Sheet1!$S$239</definedName>
    <definedName name="QB_FORMULA_12" localSheetId="1" hidden="1">Sheet1!$Q$240,Sheet1!$S$240,Sheet1!$S$242,Sheet1!$S$244,Sheet1!$S$246,Sheet1!$S$248,Sheet1!$S$250,Sheet1!$S$252,Sheet1!$S$254,Sheet1!$Q$255,Sheet1!$S$255,Sheet1!$S$257,Sheet1!$S$259,Sheet1!$S$261,Sheet1!$S$263,Sheet1!$S$264</definedName>
    <definedName name="QB_FORMULA_13" localSheetId="1" hidden="1">Sheet1!$S$265,Sheet1!$Q$266,Sheet1!$S$266,Sheet1!$S$268,Sheet1!$S$270,Sheet1!$S$271,Sheet1!$Q$272,Sheet1!$S$272,Sheet1!$S$274,Sheet1!$S$276,Sheet1!$Q$277,Sheet1!$S$277</definedName>
    <definedName name="QB_FORMULA_2" localSheetId="1" hidden="1">Sheet1!$S$35,Sheet1!$S$36,Sheet1!$S$37,Sheet1!$S$38,Sheet1!$S$39,Sheet1!$S$40,Sheet1!$S$41,Sheet1!$S$42,Sheet1!$S$43,Sheet1!$S$44,Sheet1!$S$45,Sheet1!$S$46,Sheet1!$S$47,Sheet1!$S$48,Sheet1!$S$49,Sheet1!$S$50</definedName>
    <definedName name="QB_FORMULA_3" localSheetId="1" hidden="1">Sheet1!$S$51,Sheet1!$S$52,Sheet1!$S$53,Sheet1!$S$54,Sheet1!$S$55,Sheet1!$Q$56,Sheet1!$S$56,Sheet1!$S$58,Sheet1!$S$60,Sheet1!$S$62,Sheet1!$S$64,Sheet1!$S$66,Sheet1!$Q$67,Sheet1!$S$67,Sheet1!$S$69,Sheet1!$S$71</definedName>
    <definedName name="QB_FORMULA_4" localSheetId="1" hidden="1">Sheet1!$S$73,Sheet1!$S$75,Sheet1!$S$77,Sheet1!$S$79,Sheet1!$S$81,Sheet1!$S$83,Sheet1!$S$85,Sheet1!$S$87,Sheet1!$S$89,Sheet1!$S$91,Sheet1!$S$93,Sheet1!$S$95,Sheet1!$S$97,Sheet1!$S$99,Sheet1!$S$101,Sheet1!$S$103</definedName>
    <definedName name="QB_FORMULA_5" localSheetId="1" hidden="1">Sheet1!$S$105,Sheet1!$S$107,Sheet1!$S$109,Sheet1!$S$111,Sheet1!$S$112,Sheet1!$S$113,Sheet1!$S$114,Sheet1!$S$115,Sheet1!$S$116,Sheet1!$S$117,Sheet1!$S$118,Sheet1!$S$119,Sheet1!$S$120,Sheet1!$S$121,Sheet1!$S$122,Sheet1!$S$123</definedName>
    <definedName name="QB_FORMULA_6" localSheetId="1" hidden="1">Sheet1!$S$124,Sheet1!$S$125,Sheet1!$S$126,Sheet1!$Q$127,Sheet1!$S$127,Sheet1!$S$129,Sheet1!$S$131,Sheet1!$S$135,Sheet1!$S$136,Sheet1!$Q$137,Sheet1!$S$137,Sheet1!$S$139,Sheet1!$S$141,Sheet1!$S$143,Sheet1!$S$145,Sheet1!$S$147</definedName>
    <definedName name="QB_FORMULA_7" localSheetId="1" hidden="1">Sheet1!$S$149,Sheet1!$S$151,Sheet1!$S$152,Sheet1!$S$153,Sheet1!$Q$154,Sheet1!$S$154,Sheet1!$S$156,Sheet1!$S$158,Sheet1!$S$160,Sheet1!$S$162,Sheet1!$S$163,Sheet1!$S$164,Sheet1!$Q$165,Sheet1!$S$165,Sheet1!$S$167,Sheet1!$S$169</definedName>
    <definedName name="QB_FORMULA_8" localSheetId="1" hidden="1">Sheet1!$S$171,Sheet1!$S$173,Sheet1!$S$175,Sheet1!$S$176,Sheet1!$S$177,Sheet1!$S$178,Sheet1!$S$179,Sheet1!$S$180,Sheet1!$Q$181,Sheet1!$S$181,Sheet1!$S$183,Sheet1!$S$185,Sheet1!$S$186,Sheet1!$S$187,Sheet1!$Q$188,Sheet1!$S$188</definedName>
    <definedName name="QB_FORMULA_9" localSheetId="1" hidden="1">Sheet1!$S$190,Sheet1!$Q$191,Sheet1!$S$191,Sheet1!$S$193,Sheet1!$S$194,Sheet1!$S$195,Sheet1!$S$196,Sheet1!$S$197,Sheet1!$S$198,Sheet1!$Q$199,Sheet1!$S$199,Sheet1!$S$201,Sheet1!$S$203,Sheet1!$S$204,Sheet1!$S$205,Sheet1!$S$206</definedName>
    <definedName name="QB_ROW_100010" localSheetId="1" hidden="1">Sheet1!$B$94</definedName>
    <definedName name="QB_ROW_100310" localSheetId="1" hidden="1">Sheet1!$B$95</definedName>
    <definedName name="QB_ROW_102010" localSheetId="1" hidden="1">Sheet1!$B$65</definedName>
    <definedName name="QB_ROW_102310" localSheetId="1" hidden="1">Sheet1!$B$67</definedName>
    <definedName name="QB_ROW_103010" localSheetId="1" hidden="1">Sheet1!$B$168</definedName>
    <definedName name="QB_ROW_103310" localSheetId="1" hidden="1">Sheet1!$B$169</definedName>
    <definedName name="QB_ROW_104010" localSheetId="1" hidden="1">Sheet1!$B$161</definedName>
    <definedName name="QB_ROW_104310" localSheetId="1" hidden="1">Sheet1!$B$165</definedName>
    <definedName name="QB_ROW_105010" localSheetId="1" hidden="1">Sheet1!$B$57</definedName>
    <definedName name="QB_ROW_105310" localSheetId="1" hidden="1">Sheet1!$B$58</definedName>
    <definedName name="QB_ROW_106010" localSheetId="1" hidden="1">Sheet1!$B$273</definedName>
    <definedName name="QB_ROW_106310" localSheetId="1" hidden="1">Sheet1!$B$274</definedName>
    <definedName name="QB_ROW_107010" localSheetId="1" hidden="1">Sheet1!$B$72</definedName>
    <definedName name="QB_ROW_107310" localSheetId="1" hidden="1">Sheet1!$B$73</definedName>
    <definedName name="QB_ROW_108010" localSheetId="1" hidden="1">Sheet1!$B$166</definedName>
    <definedName name="QB_ROW_108310" localSheetId="1" hidden="1">Sheet1!$B$167</definedName>
    <definedName name="QB_ROW_109010" localSheetId="1" hidden="1">Sheet1!$B$102</definedName>
    <definedName name="QB_ROW_109310" localSheetId="1" hidden="1">Sheet1!$B$103</definedName>
    <definedName name="QB_ROW_163011" localSheetId="1" hidden="1">Sheet1!$B$275</definedName>
    <definedName name="QB_ROW_163311" localSheetId="1" hidden="1">Sheet1!$B$276</definedName>
    <definedName name="QB_ROW_25301" localSheetId="1" hidden="1">Sheet1!$A$277</definedName>
    <definedName name="QB_ROW_3010" localSheetId="1" hidden="1">Sheet1!$B$130</definedName>
    <definedName name="QB_ROW_3310" localSheetId="1" hidden="1">Sheet1!$B$131</definedName>
    <definedName name="QB_ROW_39010" localSheetId="1" hidden="1">Sheet1!$B$74</definedName>
    <definedName name="QB_ROW_39310" localSheetId="1" hidden="1">Sheet1!$B$75</definedName>
    <definedName name="QB_ROW_40010" localSheetId="1" hidden="1">Sheet1!$B$76</definedName>
    <definedName name="QB_ROW_4010" localSheetId="1" hidden="1">Sheet1!$B$2</definedName>
    <definedName name="QB_ROW_40310" localSheetId="1" hidden="1">Sheet1!$B$77</definedName>
    <definedName name="QB_ROW_41010" localSheetId="1" hidden="1">Sheet1!$B$78</definedName>
    <definedName name="QB_ROW_41310" localSheetId="1" hidden="1">Sheet1!$B$79</definedName>
    <definedName name="QB_ROW_42010" localSheetId="1" hidden="1">Sheet1!$B$80</definedName>
    <definedName name="QB_ROW_42310" localSheetId="1" hidden="1">Sheet1!$B$81</definedName>
    <definedName name="QB_ROW_43010" localSheetId="1" hidden="1">Sheet1!$B$82</definedName>
    <definedName name="QB_ROW_4310" localSheetId="1" hidden="1">Sheet1!$B$56</definedName>
    <definedName name="QB_ROW_43310" localSheetId="1" hidden="1">Sheet1!$B$83</definedName>
    <definedName name="QB_ROW_44010" localSheetId="1" hidden="1">Sheet1!$B$84</definedName>
    <definedName name="QB_ROW_44310" localSheetId="1" hidden="1">Sheet1!$B$85</definedName>
    <definedName name="QB_ROW_45010" localSheetId="1" hidden="1">Sheet1!$B$86</definedName>
    <definedName name="QB_ROW_45310" localSheetId="1" hidden="1">Sheet1!$B$87</definedName>
    <definedName name="QB_ROW_46010" localSheetId="1" hidden="1">Sheet1!$B$88</definedName>
    <definedName name="QB_ROW_46310" localSheetId="1" hidden="1">Sheet1!$B$89</definedName>
    <definedName name="QB_ROW_47010" localSheetId="1" hidden="1">Sheet1!$B$90</definedName>
    <definedName name="QB_ROW_47310" localSheetId="1" hidden="1">Sheet1!$B$91</definedName>
    <definedName name="QB_ROW_48010" localSheetId="1" hidden="1">Sheet1!$B$59</definedName>
    <definedName name="QB_ROW_48310" localSheetId="1" hidden="1">Sheet1!$B$60</definedName>
    <definedName name="QB_ROW_49010" localSheetId="1" hidden="1">Sheet1!$B$92</definedName>
    <definedName name="QB_ROW_49310" localSheetId="1" hidden="1">Sheet1!$B$93</definedName>
    <definedName name="QB_ROW_50010" localSheetId="1" hidden="1">Sheet1!$B$96</definedName>
    <definedName name="QB_ROW_5010" localSheetId="1" hidden="1">Sheet1!$B$61</definedName>
    <definedName name="QB_ROW_50310" localSheetId="1" hidden="1">Sheet1!$B$97</definedName>
    <definedName name="QB_ROW_51010" localSheetId="1" hidden="1">Sheet1!$B$98</definedName>
    <definedName name="QB_ROW_51310" localSheetId="1" hidden="1">Sheet1!$B$99</definedName>
    <definedName name="QB_ROW_52010" localSheetId="1" hidden="1">Sheet1!$B$100</definedName>
    <definedName name="QB_ROW_52310" localSheetId="1" hidden="1">Sheet1!$B$101</definedName>
    <definedName name="QB_ROW_53010" localSheetId="1" hidden="1">Sheet1!$B$170</definedName>
    <definedName name="QB_ROW_5310" localSheetId="1" hidden="1">Sheet1!$B$62</definedName>
    <definedName name="QB_ROW_53310" localSheetId="1" hidden="1">Sheet1!$B$171</definedName>
    <definedName name="QB_ROW_54010" localSheetId="1" hidden="1">Sheet1!$B$104</definedName>
    <definedName name="QB_ROW_54310" localSheetId="1" hidden="1">Sheet1!$B$105</definedName>
    <definedName name="QB_ROW_55010" localSheetId="1" hidden="1">Sheet1!$B$106</definedName>
    <definedName name="QB_ROW_55310" localSheetId="1" hidden="1">Sheet1!$B$107</definedName>
    <definedName name="QB_ROW_56010" localSheetId="1" hidden="1">Sheet1!$B$108</definedName>
    <definedName name="QB_ROW_56310" localSheetId="1" hidden="1">Sheet1!$B$109</definedName>
    <definedName name="QB_ROW_57010" localSheetId="1" hidden="1">Sheet1!$B$110</definedName>
    <definedName name="QB_ROW_57310" localSheetId="1" hidden="1">Sheet1!$B$127</definedName>
    <definedName name="QB_ROW_58010" localSheetId="1" hidden="1">Sheet1!$B$128</definedName>
    <definedName name="QB_ROW_58310" localSheetId="1" hidden="1">Sheet1!$B$129</definedName>
    <definedName name="QB_ROW_59010" localSheetId="1" hidden="1">Sheet1!$B$132</definedName>
    <definedName name="QB_ROW_59310" localSheetId="1" hidden="1">Sheet1!$B$133</definedName>
    <definedName name="QB_ROW_60010" localSheetId="1" hidden="1">Sheet1!$B$134</definedName>
    <definedName name="QB_ROW_60310" localSheetId="1" hidden="1">Sheet1!$B$137</definedName>
    <definedName name="QB_ROW_61010" localSheetId="1" hidden="1">Sheet1!$B$138</definedName>
    <definedName name="QB_ROW_61310" localSheetId="1" hidden="1">Sheet1!$B$139</definedName>
    <definedName name="QB_ROW_62010" localSheetId="1" hidden="1">Sheet1!$B$140</definedName>
    <definedName name="QB_ROW_62310" localSheetId="1" hidden="1">Sheet1!$B$141</definedName>
    <definedName name="QB_ROW_63010" localSheetId="1" hidden="1">Sheet1!$B$142</definedName>
    <definedName name="QB_ROW_63310" localSheetId="1" hidden="1">Sheet1!$B$143</definedName>
    <definedName name="QB_ROW_64010" localSheetId="1" hidden="1">Sheet1!$B$144</definedName>
    <definedName name="QB_ROW_64310" localSheetId="1" hidden="1">Sheet1!$B$145</definedName>
    <definedName name="QB_ROW_65010" localSheetId="1" hidden="1">Sheet1!$B$146</definedName>
    <definedName name="QB_ROW_65310" localSheetId="1" hidden="1">Sheet1!$B$147</definedName>
    <definedName name="QB_ROW_66010" localSheetId="1" hidden="1">Sheet1!$B$148</definedName>
    <definedName name="QB_ROW_66310" localSheetId="1" hidden="1">Sheet1!$B$149</definedName>
    <definedName name="QB_ROW_67010" localSheetId="1" hidden="1">Sheet1!$B$150</definedName>
    <definedName name="QB_ROW_67310" localSheetId="1" hidden="1">Sheet1!$B$154</definedName>
    <definedName name="QB_ROW_68010" localSheetId="1" hidden="1">Sheet1!$B$155</definedName>
    <definedName name="QB_ROW_68310" localSheetId="1" hidden="1">Sheet1!$B$156</definedName>
    <definedName name="QB_ROW_69010" localSheetId="1" hidden="1">Sheet1!$B$157</definedName>
    <definedName name="QB_ROW_69310" localSheetId="1" hidden="1">Sheet1!$B$158</definedName>
    <definedName name="QB_ROW_70010" localSheetId="1" hidden="1">Sheet1!$B$159</definedName>
    <definedName name="QB_ROW_70310" localSheetId="1" hidden="1">Sheet1!$B$160</definedName>
    <definedName name="QB_ROW_71010" localSheetId="1" hidden="1">Sheet1!$B$172</definedName>
    <definedName name="QB_ROW_71310" localSheetId="1" hidden="1">Sheet1!$B$173</definedName>
    <definedName name="QB_ROW_72010" localSheetId="1" hidden="1">Sheet1!$B$174</definedName>
    <definedName name="QB_ROW_72310" localSheetId="1" hidden="1">Sheet1!$B$181</definedName>
    <definedName name="QB_ROW_73010" localSheetId="1" hidden="1">Sheet1!$B$182</definedName>
    <definedName name="QB_ROW_73310" localSheetId="1" hidden="1">Sheet1!$B$183</definedName>
    <definedName name="QB_ROW_74010" localSheetId="1" hidden="1">Sheet1!$B$184</definedName>
    <definedName name="QB_ROW_74310" localSheetId="1" hidden="1">Sheet1!$B$188</definedName>
    <definedName name="QB_ROW_75010" localSheetId="1" hidden="1">Sheet1!$B$189</definedName>
    <definedName name="QB_ROW_75310" localSheetId="1" hidden="1">Sheet1!$B$191</definedName>
    <definedName name="QB_ROW_76010" localSheetId="1" hidden="1">Sheet1!$B$192</definedName>
    <definedName name="QB_ROW_76310" localSheetId="1" hidden="1">Sheet1!$B$199</definedName>
    <definedName name="QB_ROW_77010" localSheetId="1" hidden="1">Sheet1!$B$200</definedName>
    <definedName name="QB_ROW_77310" localSheetId="1" hidden="1">Sheet1!$B$201</definedName>
    <definedName name="QB_ROW_78010" localSheetId="1" hidden="1">Sheet1!$B$202</definedName>
    <definedName name="QB_ROW_78310" localSheetId="1" hidden="1">Sheet1!$B$215</definedName>
    <definedName name="QB_ROW_79010" localSheetId="1" hidden="1">Sheet1!$B$216</definedName>
    <definedName name="QB_ROW_79310" localSheetId="1" hidden="1">Sheet1!$B$217</definedName>
    <definedName name="QB_ROW_80010" localSheetId="1" hidden="1">Sheet1!$B$218</definedName>
    <definedName name="QB_ROW_80310" localSheetId="1" hidden="1">Sheet1!$B$228</definedName>
    <definedName name="QB_ROW_81010" localSheetId="1" hidden="1">Sheet1!$B$229</definedName>
    <definedName name="QB_ROW_81310" localSheetId="1" hidden="1">Sheet1!$B$233</definedName>
    <definedName name="QB_ROW_82010" localSheetId="1" hidden="1">Sheet1!$B$234</definedName>
    <definedName name="QB_ROW_82310" localSheetId="1" hidden="1">Sheet1!$B$236</definedName>
    <definedName name="QB_ROW_83010" localSheetId="1" hidden="1">Sheet1!$B$237</definedName>
    <definedName name="QB_ROW_83310" localSheetId="1" hidden="1">Sheet1!$B$240</definedName>
    <definedName name="QB_ROW_84010" localSheetId="1" hidden="1">Sheet1!$B$241</definedName>
    <definedName name="QB_ROW_84310" localSheetId="1" hidden="1">Sheet1!$B$242</definedName>
    <definedName name="QB_ROW_85010" localSheetId="1" hidden="1">Sheet1!$B$243</definedName>
    <definedName name="QB_ROW_85310" localSheetId="1" hidden="1">Sheet1!$B$244</definedName>
    <definedName name="QB_ROW_86010" localSheetId="1" hidden="1">Sheet1!$B$245</definedName>
    <definedName name="QB_ROW_86310" localSheetId="1" hidden="1">Sheet1!$B$246</definedName>
    <definedName name="QB_ROW_87010" localSheetId="1" hidden="1">Sheet1!$B$247</definedName>
    <definedName name="QB_ROW_87310" localSheetId="1" hidden="1">Sheet1!$B$248</definedName>
    <definedName name="QB_ROW_88010" localSheetId="1" hidden="1">Sheet1!$B$249</definedName>
    <definedName name="QB_ROW_88310" localSheetId="1" hidden="1">Sheet1!$B$250</definedName>
    <definedName name="QB_ROW_89010" localSheetId="1" hidden="1">Sheet1!$B$251</definedName>
    <definedName name="QB_ROW_89310" localSheetId="1" hidden="1">Sheet1!$B$252</definedName>
    <definedName name="QB_ROW_90010" localSheetId="1" hidden="1">Sheet1!$B$253</definedName>
    <definedName name="QB_ROW_90310" localSheetId="1" hidden="1">Sheet1!$B$255</definedName>
    <definedName name="QB_ROW_91010" localSheetId="1" hidden="1">Sheet1!$B$256</definedName>
    <definedName name="QB_ROW_91310" localSheetId="1" hidden="1">Sheet1!$B$257</definedName>
    <definedName name="QB_ROW_92010" localSheetId="1" hidden="1">Sheet1!$B$258</definedName>
    <definedName name="QB_ROW_92310" localSheetId="1" hidden="1">Sheet1!$B$259</definedName>
    <definedName name="QB_ROW_93010" localSheetId="1" hidden="1">Sheet1!$B$260</definedName>
    <definedName name="QB_ROW_93310" localSheetId="1" hidden="1">Sheet1!$B$261</definedName>
    <definedName name="QB_ROW_94010" localSheetId="1" hidden="1">Sheet1!$B$262</definedName>
    <definedName name="QB_ROW_94310" localSheetId="1" hidden="1">Sheet1!$B$266</definedName>
    <definedName name="QB_ROW_95010" localSheetId="1" hidden="1">Sheet1!$B$267</definedName>
    <definedName name="QB_ROW_95310" localSheetId="1" hidden="1">Sheet1!$B$268</definedName>
    <definedName name="QB_ROW_96010" localSheetId="1" hidden="1">Sheet1!$B$269</definedName>
    <definedName name="QB_ROW_96310" localSheetId="1" hidden="1">Sheet1!$B$272</definedName>
    <definedName name="QB_ROW_97010" localSheetId="1" hidden="1">Sheet1!$B$63</definedName>
    <definedName name="QB_ROW_97310" localSheetId="1" hidden="1">Sheet1!$B$64</definedName>
    <definedName name="QB_ROW_98010" localSheetId="1" hidden="1">Sheet1!$B$68</definedName>
    <definedName name="QB_ROW_98310" localSheetId="1" hidden="1">Sheet1!$B$69</definedName>
    <definedName name="QB_ROW_99010" localSheetId="1" hidden="1">Sheet1!$B$70</definedName>
    <definedName name="QB_ROW_99310" localSheetId="1" hidden="1">Sheet1!$B$71</definedName>
    <definedName name="QBCANSUPPORTUPDATE" localSheetId="1">TRUE</definedName>
    <definedName name="QBCOMPANYFILENAME" localSheetId="1">"D:\1\wiley sanitation district 22.qbw"</definedName>
    <definedName name="QBENDDATE" localSheetId="1">20261231</definedName>
    <definedName name="QBHEADERSONSCREEN" localSheetId="1">FALSE</definedName>
    <definedName name="QBMETADATASIZE" localSheetId="1">8122</definedName>
    <definedName name="QBPRESERVECOLOR" localSheetId="1">TRUE</definedName>
    <definedName name="QBPRESERVEFONT" localSheetId="1">TRUE</definedName>
    <definedName name="QBPRESERVEROWHEIGHT" localSheetId="1">TRUE</definedName>
    <definedName name="QBPRESERVESPACE" localSheetId="1">TRUE</definedName>
    <definedName name="QBREPORTCOLAXIS" localSheetId="1">0</definedName>
    <definedName name="QBREPORTCOMPANYID" localSheetId="1">"b652aef63b104960ae84a718a6760d57"</definedName>
    <definedName name="QBREPORTCOMPARECOL_ANNUALBUDGET" localSheetId="1">FALSE</definedName>
    <definedName name="QBREPORTCOMPARECOL_AVGCOGS" localSheetId="1">FALSE</definedName>
    <definedName name="QBREPORTCOMPARECOL_AVGPRICE" localSheetId="1">FALSE</definedName>
    <definedName name="QBREPORTCOMPARECOL_BUDDIFF" localSheetId="1">FALSE</definedName>
    <definedName name="QBREPORTCOMPARECOL_BUDGET" localSheetId="1">FALSE</definedName>
    <definedName name="QBREPORTCOMPARECOL_BUDPCT" localSheetId="1">FALSE</definedName>
    <definedName name="QBREPORTCOMPARECOL_COGS" localSheetId="1">FALSE</definedName>
    <definedName name="QBREPORTCOMPARECOL_EXCLUDEAMOUNT" localSheetId="1">FALSE</definedName>
    <definedName name="QBREPORTCOMPARECOL_EXCLUDECURPERIOD" localSheetId="1">FALSE</definedName>
    <definedName name="QBREPORTCOMPARECOL_FORECAST" localSheetId="1">FALSE</definedName>
    <definedName name="QBREPORTCOMPARECOL_GROSSMARGIN" localSheetId="1">FALSE</definedName>
    <definedName name="QBREPORTCOMPARECOL_GROSSMARGINPCT" localSheetId="1">FALSE</definedName>
    <definedName name="QBREPORTCOMPARECOL_HOURS" localSheetId="1">FALSE</definedName>
    <definedName name="QBREPORTCOMPARECOL_PCTCOL" localSheetId="1">FALSE</definedName>
    <definedName name="QBREPORTCOMPARECOL_PCTEXPENSE" localSheetId="1">FALSE</definedName>
    <definedName name="QBREPORTCOMPARECOL_PCTINCOME" localSheetId="1">FALSE</definedName>
    <definedName name="QBREPORTCOMPARECOL_PCTOFSALES" localSheetId="1">FALSE</definedName>
    <definedName name="QBREPORTCOMPARECOL_PCTROW" localSheetId="1">FALSE</definedName>
    <definedName name="QBREPORTCOMPARECOL_PPDIFF" localSheetId="1">FALSE</definedName>
    <definedName name="QBREPORTCOMPARECOL_PPPCT" localSheetId="1">FALSE</definedName>
    <definedName name="QBREPORTCOMPARECOL_PREVPERIOD" localSheetId="1">FALSE</definedName>
    <definedName name="QBREPORTCOMPARECOL_PREVYEAR" localSheetId="1">FALSE</definedName>
    <definedName name="QBREPORTCOMPARECOL_PYDIFF" localSheetId="1">FALSE</definedName>
    <definedName name="QBREPORTCOMPARECOL_PYPCT" localSheetId="1">FALSE</definedName>
    <definedName name="QBREPORTCOMPARECOL_QTY" localSheetId="1">FALSE</definedName>
    <definedName name="QBREPORTCOMPARECOL_RATE" localSheetId="1">FALSE</definedName>
    <definedName name="QBREPORTCOMPARECOL_TRIPBILLEDMILES" localSheetId="1">FALSE</definedName>
    <definedName name="QBREPORTCOMPARECOL_TRIPBILLINGAMOUNT" localSheetId="1">FALSE</definedName>
    <definedName name="QBREPORTCOMPARECOL_TRIPMILES" localSheetId="1">FALSE</definedName>
    <definedName name="QBREPORTCOMPARECOL_TRIPNOTBILLABLEMILES" localSheetId="1">FALSE</definedName>
    <definedName name="QBREPORTCOMPARECOL_TRIPTAXDEDUCTIBLEAMOUNT" localSheetId="1">FALSE</definedName>
    <definedName name="QBREPORTCOMPARECOL_TRIPUNBILLEDMILES" localSheetId="1">FALSE</definedName>
    <definedName name="QBREPORTCOMPARECOL_YTD" localSheetId="1">FALSE</definedName>
    <definedName name="QBREPORTCOMPARECOL_YTDBUDGET" localSheetId="1">FALSE</definedName>
    <definedName name="QBREPORTCOMPARECOL_YTDPCT" localSheetId="1">FALSE</definedName>
    <definedName name="QBREPORTROWAXIS" localSheetId="1">12</definedName>
    <definedName name="QBREPORTSUBCOLAXIS" localSheetId="1">0</definedName>
    <definedName name="QBREPORTTYPE" localSheetId="1">42</definedName>
    <definedName name="QBROWHEADERS" localSheetId="1">2</definedName>
    <definedName name="QBSTARTDATE" localSheetId="1">20260101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77" i="1" l="1"/>
  <c r="Q277" i="1"/>
  <c r="S276" i="1"/>
  <c r="S274" i="1"/>
  <c r="S272" i="1"/>
  <c r="Q272" i="1"/>
  <c r="S271" i="1"/>
  <c r="S270" i="1"/>
  <c r="S268" i="1"/>
  <c r="S266" i="1"/>
  <c r="Q266" i="1"/>
  <c r="S265" i="1"/>
  <c r="S264" i="1"/>
  <c r="S263" i="1"/>
  <c r="S261" i="1"/>
  <c r="S259" i="1"/>
  <c r="S257" i="1"/>
  <c r="S255" i="1"/>
  <c r="Q255" i="1"/>
  <c r="S254" i="1"/>
  <c r="S252" i="1"/>
  <c r="S250" i="1"/>
  <c r="S248" i="1"/>
  <c r="S246" i="1"/>
  <c r="S244" i="1"/>
  <c r="S242" i="1"/>
  <c r="S240" i="1"/>
  <c r="Q240" i="1"/>
  <c r="S239" i="1"/>
  <c r="S238" i="1"/>
  <c r="S236" i="1"/>
  <c r="Q236" i="1"/>
  <c r="S235" i="1"/>
  <c r="S233" i="1"/>
  <c r="Q233" i="1"/>
  <c r="S232" i="1"/>
  <c r="S231" i="1"/>
  <c r="S230" i="1"/>
  <c r="S228" i="1"/>
  <c r="Q228" i="1"/>
  <c r="S227" i="1"/>
  <c r="S226" i="1"/>
  <c r="S225" i="1"/>
  <c r="S224" i="1"/>
  <c r="S223" i="1"/>
  <c r="S222" i="1"/>
  <c r="S221" i="1"/>
  <c r="S220" i="1"/>
  <c r="S219" i="1"/>
  <c r="S217" i="1"/>
  <c r="S215" i="1"/>
  <c r="Q215" i="1"/>
  <c r="S214" i="1"/>
  <c r="S213" i="1"/>
  <c r="S212" i="1"/>
  <c r="S211" i="1"/>
  <c r="S210" i="1"/>
  <c r="S209" i="1"/>
  <c r="S208" i="1"/>
  <c r="S207" i="1"/>
  <c r="S206" i="1"/>
  <c r="S205" i="1"/>
  <c r="S204" i="1"/>
  <c r="S203" i="1"/>
  <c r="S201" i="1"/>
  <c r="S199" i="1"/>
  <c r="Q199" i="1"/>
  <c r="S198" i="1"/>
  <c r="S197" i="1"/>
  <c r="S196" i="1"/>
  <c r="S195" i="1"/>
  <c r="S194" i="1"/>
  <c r="S193" i="1"/>
  <c r="S191" i="1"/>
  <c r="Q191" i="1"/>
  <c r="S190" i="1"/>
  <c r="S188" i="1"/>
  <c r="Q188" i="1"/>
  <c r="S187" i="1"/>
  <c r="S186" i="1"/>
  <c r="S185" i="1"/>
  <c r="S183" i="1"/>
  <c r="S181" i="1"/>
  <c r="Q181" i="1"/>
  <c r="S180" i="1"/>
  <c r="S179" i="1"/>
  <c r="S178" i="1"/>
  <c r="S177" i="1"/>
  <c r="S176" i="1"/>
  <c r="S175" i="1"/>
  <c r="S173" i="1"/>
  <c r="S171" i="1"/>
  <c r="S169" i="1"/>
  <c r="S167" i="1"/>
  <c r="S165" i="1"/>
  <c r="Q165" i="1"/>
  <c r="S164" i="1"/>
  <c r="S163" i="1"/>
  <c r="S162" i="1"/>
  <c r="S160" i="1"/>
  <c r="S158" i="1"/>
  <c r="S156" i="1"/>
  <c r="S154" i="1"/>
  <c r="Q154" i="1"/>
  <c r="S153" i="1"/>
  <c r="S152" i="1"/>
  <c r="S151" i="1"/>
  <c r="S149" i="1"/>
  <c r="S147" i="1"/>
  <c r="S145" i="1"/>
  <c r="S143" i="1"/>
  <c r="S141" i="1"/>
  <c r="S139" i="1"/>
  <c r="S137" i="1"/>
  <c r="Q137" i="1"/>
  <c r="S136" i="1"/>
  <c r="S135" i="1"/>
  <c r="S131" i="1"/>
  <c r="S129" i="1"/>
  <c r="S127" i="1"/>
  <c r="Q127" i="1"/>
  <c r="S126" i="1"/>
  <c r="S125" i="1"/>
  <c r="S124" i="1"/>
  <c r="S123" i="1"/>
  <c r="S122" i="1"/>
  <c r="S121" i="1"/>
  <c r="S120" i="1"/>
  <c r="S119" i="1"/>
  <c r="S118" i="1"/>
  <c r="S117" i="1"/>
  <c r="S116" i="1"/>
  <c r="S115" i="1"/>
  <c r="S114" i="1"/>
  <c r="S113" i="1"/>
  <c r="S112" i="1"/>
  <c r="S111" i="1"/>
  <c r="S109" i="1"/>
  <c r="S107" i="1"/>
  <c r="S105" i="1"/>
  <c r="S103" i="1"/>
  <c r="S101" i="1"/>
  <c r="S99" i="1"/>
  <c r="S97" i="1"/>
  <c r="S95" i="1"/>
  <c r="S93" i="1"/>
  <c r="S91" i="1"/>
  <c r="S89" i="1"/>
  <c r="S87" i="1"/>
  <c r="S85" i="1"/>
  <c r="S83" i="1"/>
  <c r="S81" i="1"/>
  <c r="S79" i="1"/>
  <c r="S77" i="1"/>
  <c r="S75" i="1"/>
  <c r="S73" i="1"/>
  <c r="S71" i="1"/>
  <c r="S69" i="1"/>
  <c r="S67" i="1"/>
  <c r="Q67" i="1"/>
  <c r="S66" i="1"/>
  <c r="S64" i="1"/>
  <c r="S62" i="1"/>
  <c r="S60" i="1"/>
  <c r="S58" i="1"/>
  <c r="S56" i="1"/>
  <c r="Q56" i="1"/>
  <c r="S55" i="1"/>
  <c r="S54" i="1"/>
  <c r="S53" i="1"/>
  <c r="S52" i="1"/>
  <c r="S51" i="1"/>
  <c r="S50" i="1"/>
  <c r="S49" i="1"/>
  <c r="S48" i="1"/>
  <c r="S47" i="1"/>
  <c r="S46" i="1"/>
  <c r="S45" i="1"/>
  <c r="S44" i="1"/>
  <c r="S43" i="1"/>
  <c r="S42" i="1"/>
  <c r="S41" i="1"/>
  <c r="S40" i="1"/>
  <c r="S39" i="1"/>
  <c r="S38" i="1"/>
  <c r="S37" i="1"/>
  <c r="S36" i="1"/>
  <c r="S35" i="1"/>
  <c r="S34" i="1"/>
  <c r="S33" i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S5" i="1"/>
  <c r="S4" i="1"/>
  <c r="S3" i="1"/>
</calcChain>
</file>

<file path=xl/sharedStrings.xml><?xml version="1.0" encoding="utf-8"?>
<sst xmlns="http://schemas.openxmlformats.org/spreadsheetml/2006/main" count="690" uniqueCount="250">
  <si>
    <t>Type</t>
  </si>
  <si>
    <t>Date</t>
  </si>
  <si>
    <t>Num</t>
  </si>
  <si>
    <t>Name</t>
  </si>
  <si>
    <t>Memo</t>
  </si>
  <si>
    <t>Split</t>
  </si>
  <si>
    <t>Amount</t>
  </si>
  <si>
    <t>Balance</t>
  </si>
  <si>
    <t>101 · CHECKING ACCOUNT-Enterprise</t>
  </si>
  <si>
    <t>Total 101 · CHECKING ACCOUNT-Enterprise</t>
  </si>
  <si>
    <t>102 · WSD-General Fund</t>
  </si>
  <si>
    <t>Total 102 · WSD-General Fund</t>
  </si>
  <si>
    <t>151 · INVESTMENTS - CEBT CD#022137612</t>
  </si>
  <si>
    <t>Total 151 · INVESTMENTS - CEBT CD#022137612</t>
  </si>
  <si>
    <t>151.1 · WSD EMERGENCY RESERVE</t>
  </si>
  <si>
    <t>Total 151.1 · WSD EMERGENCY RESERVE</t>
  </si>
  <si>
    <t>151.2 · INVESTMENTS - VNB CD#1197160520</t>
  </si>
  <si>
    <t>Total 151.2 · INVESTMENTS - VNB CD#1197160520</t>
  </si>
  <si>
    <t>151.3 · LEGACY BANK CD #6469</t>
  </si>
  <si>
    <t>Total 151.3 · LEGACY BANK CD #6469</t>
  </si>
  <si>
    <t>11000 · *Accounts Receivable</t>
  </si>
  <si>
    <t>Total 11000 · *Accounts Receivable</t>
  </si>
  <si>
    <t>12000 · Undeposited Funds</t>
  </si>
  <si>
    <t>Total 12000 · Undeposited Funds</t>
  </si>
  <si>
    <t>180 · CONSTRUCTION IN PROGRESS</t>
  </si>
  <si>
    <t>Total 180 · CONSTRUCTION IN PROGRESS</t>
  </si>
  <si>
    <t>105 · TAXES RECEIVABLE</t>
  </si>
  <si>
    <t>Total 105 · TAXES RECEIVABLE</t>
  </si>
  <si>
    <t>107 · ACCOUNTS RECEIVABLE</t>
  </si>
  <si>
    <t>Total 107 · ACCOUNTS RECEIVABLE</t>
  </si>
  <si>
    <t>115.7 · INTERGOVERNMENTAL RECEIVABLE</t>
  </si>
  <si>
    <t>Total 115.7 · INTERGOVERNMENTAL RECEIVABLE</t>
  </si>
  <si>
    <t>132 · CASH WITH COUNTY TREASURER</t>
  </si>
  <si>
    <t>Total 132 · CASH WITH COUNTY TREASURER</t>
  </si>
  <si>
    <t>140 · LAND</t>
  </si>
  <si>
    <t>Total 140 · LAND</t>
  </si>
  <si>
    <t>141 · SEWER SYSTEM</t>
  </si>
  <si>
    <t>Total 141 · SEWER SYSTEM</t>
  </si>
  <si>
    <t>142 · EQUIPMENT</t>
  </si>
  <si>
    <t>Total 142 · EQUIPMENT</t>
  </si>
  <si>
    <t>143 · FURNITURE &amp; FIXTURES</t>
  </si>
  <si>
    <t>Total 143 · FURNITURE &amp; FIXTURES</t>
  </si>
  <si>
    <t>146 · ACCUMULATED DEPRECIATION</t>
  </si>
  <si>
    <t>Total 146 · ACCUMULATED DEPRECIATION</t>
  </si>
  <si>
    <t>155 · PREPAID INSURANCE</t>
  </si>
  <si>
    <t>Total 155 · PREPAID INSURANCE</t>
  </si>
  <si>
    <t>20000 · *Accounts Payable</t>
  </si>
  <si>
    <t>Total 20000 · *Accounts Payable</t>
  </si>
  <si>
    <t>202 · ACCOUNTS PAYABLE</t>
  </si>
  <si>
    <t>Total 202 · ACCOUNTS PAYABLE</t>
  </si>
  <si>
    <t>205 · DEFERRED REVENUE-TAXES</t>
  </si>
  <si>
    <t>Total 205 · DEFERRED REVENUE-TAXES</t>
  </si>
  <si>
    <t>210 · CD LOAN</t>
  </si>
  <si>
    <t>Total 210 · CD LOAN</t>
  </si>
  <si>
    <t>215 · DEFERRED REVENUE-RESCUE FUND</t>
  </si>
  <si>
    <t>Total 215 · DEFERRED REVENUE-RESCUE FUND</t>
  </si>
  <si>
    <t>217.1 · FEDERAL W/H PAYABLE</t>
  </si>
  <si>
    <t>Total 217.1 · FEDERAL W/H PAYABLE</t>
  </si>
  <si>
    <t>217.2 · STATE W/H PAYABLE</t>
  </si>
  <si>
    <t>Total 217.2 · STATE W/H PAYABLE</t>
  </si>
  <si>
    <t>217.3 · SOC SEC W/H PAYABLE</t>
  </si>
  <si>
    <t>Total 217.3 · SOC SEC W/H PAYABLE</t>
  </si>
  <si>
    <t>222 · DUE TO/FROM TOWN OF WILEY</t>
  </si>
  <si>
    <t>Total 222 · DUE TO/FROM TOWN OF WILEY</t>
  </si>
  <si>
    <t>271 · FUND BALANCE</t>
  </si>
  <si>
    <t>Total 271 · FUND BALANCE</t>
  </si>
  <si>
    <t>30000 · Opening Bal Equity</t>
  </si>
  <si>
    <t>Total 30000 · Opening Bal Equity</t>
  </si>
  <si>
    <t>32000 · Unrestricted Net Assets</t>
  </si>
  <si>
    <t>Total 32000 · Unrestricted Net Assets</t>
  </si>
  <si>
    <t>301 · SEWAGE SALES</t>
  </si>
  <si>
    <t>Total 301 · SEWAGE SALES</t>
  </si>
  <si>
    <t>302 · TAP FEES</t>
  </si>
  <si>
    <t>Total 302 · TAP FEES</t>
  </si>
  <si>
    <t>310 · GENERAL PROPERTY TAXES</t>
  </si>
  <si>
    <t>Total 310 · GENERAL PROPERTY TAXES</t>
  </si>
  <si>
    <t>310.1 · DELINQUENT GEN. PROPERTY TAXES</t>
  </si>
  <si>
    <t>Total 310.1 · DELINQUENT GEN. PROPERTY TAXES</t>
  </si>
  <si>
    <t>311 · S.O. TAXES</t>
  </si>
  <si>
    <t>Total 311 · S.O. TAXES</t>
  </si>
  <si>
    <t>312 · TAX A</t>
  </si>
  <si>
    <t>Total 312 · TAX A</t>
  </si>
  <si>
    <t>313 · SENIOR HOMESTEAD EXEMPTION</t>
  </si>
  <si>
    <t>Total 313 · SENIOR HOMESTEAD EXEMPTION</t>
  </si>
  <si>
    <t>315 · INTEREST ON INVESTMENTS</t>
  </si>
  <si>
    <t>Total 315 · INTEREST ON INVESTMENTS</t>
  </si>
  <si>
    <t>320 · PENALTIES &amp; INTEREST ON TAXES</t>
  </si>
  <si>
    <t>Total 320 · PENALTIES &amp; INTEREST ON TAXES</t>
  </si>
  <si>
    <t>320.1 · REFUND TAX OVERPAYMENT</t>
  </si>
  <si>
    <t>Total 320.1 · REFUND TAX OVERPAYMENT</t>
  </si>
  <si>
    <t>321 · MISCELLANEOUS INCOME</t>
  </si>
  <si>
    <t>Total 321 · MISCELLANEOUS INCOME</t>
  </si>
  <si>
    <t>322 · WSD POND PROJECT GRANTS</t>
  </si>
  <si>
    <t>Total 322 · WSD POND PROJECT GRANTS</t>
  </si>
  <si>
    <t>323 · WSD-AMER RESCUE FUND-PONDS PROJ</t>
  </si>
  <si>
    <t>Total 323 · WSD-AMER RESCUE FUND-PONDS PROJ</t>
  </si>
  <si>
    <t>492 MILAGE REIMBURSMENT</t>
  </si>
  <si>
    <t>Total 492 MILAGE REIMBURSMENT</t>
  </si>
  <si>
    <t>210.1 · CD LOAN INTEREST</t>
  </si>
  <si>
    <t>Total 210.1 · CD LOAN INTEREST</t>
  </si>
  <si>
    <t>401 · PERMITS &amp; ASSESSMENTS</t>
  </si>
  <si>
    <t>Total 401 · PERMITS &amp; ASSESSMENTS</t>
  </si>
  <si>
    <t>401.1 · BANK SERVICE &amp; INTEREST CHARGE</t>
  </si>
  <si>
    <t>Total 401.1 · BANK SERVICE &amp; INTEREST CHARGE</t>
  </si>
  <si>
    <t>401.2 · CD LOAN EXPENSE</t>
  </si>
  <si>
    <t>Total 401.2 · CD LOAN EXPENSE</t>
  </si>
  <si>
    <t>405 · OUTSIDE SERVICE - LAB FEES</t>
  </si>
  <si>
    <t>Total 405 · OUTSIDE SERVICE - LAB FEES</t>
  </si>
  <si>
    <t>405.1 · BUDGET, AUDIT, LEGAL</t>
  </si>
  <si>
    <t>Total 405.1 · BUDGET, AUDIT, LEGAL</t>
  </si>
  <si>
    <t>410 · OFFICE SUPPLIES/POSTAGE</t>
  </si>
  <si>
    <t>Total 410 · OFFICE SUPPLIES/POSTAGE</t>
  </si>
  <si>
    <t>413.4 · EDUCATION</t>
  </si>
  <si>
    <t>Total 413.4 · EDUCATION</t>
  </si>
  <si>
    <t>415 · CAPITAL OUTLAY</t>
  </si>
  <si>
    <t>Total 415 · CAPITAL OUTLAY</t>
  </si>
  <si>
    <t>416 · DUES &amp; SUBSCRIPTIONS</t>
  </si>
  <si>
    <t>Total 416 · DUES &amp; SUBSCRIPTIONS</t>
  </si>
  <si>
    <t>418 · LIFT STATION - UTILITIES</t>
  </si>
  <si>
    <t>Total 418 · LIFT STATION - UTILITIES</t>
  </si>
  <si>
    <t>420 · COLLECTION FEE</t>
  </si>
  <si>
    <t>Total 420 · COLLECTION FEE</t>
  </si>
  <si>
    <t>425 · SUPPLIES &amp; EXPENSES</t>
  </si>
  <si>
    <t>Total 425 · SUPPLIES &amp; EXPENSES</t>
  </si>
  <si>
    <t>430 · INSURANCE</t>
  </si>
  <si>
    <t>Total 430 · INSURANCE</t>
  </si>
  <si>
    <t>432.53 · SEWER CLEANING</t>
  </si>
  <si>
    <t>Total 432.53 · SEWER CLEANING</t>
  </si>
  <si>
    <t>433.51 · SALARIES</t>
  </si>
  <si>
    <t>Total 433.51 · SALARIES</t>
  </si>
  <si>
    <t>435 · LAGOON CLEANING</t>
  </si>
  <si>
    <t>Total 435 · LAGOON CLEANING</t>
  </si>
  <si>
    <t>440 · DEPRECIATION</t>
  </si>
  <si>
    <t>Total 440 · DEPRECIATION</t>
  </si>
  <si>
    <t>445 · COUNTY TREASURER FEES</t>
  </si>
  <si>
    <t>Total 445 · COUNTY TREASURER FEES</t>
  </si>
  <si>
    <t>483 · PAYROLL TAXES - FICA/UNEMPLOYMT</t>
  </si>
  <si>
    <t>Total 483 · PAYROLL TAXES - FICA/UNEMPLOYMT</t>
  </si>
  <si>
    <t>484 · PROPTERTY TAXES</t>
  </si>
  <si>
    <t>Total 484 · PROPTERTY TAXES</t>
  </si>
  <si>
    <t>485 · ENGINEERING</t>
  </si>
  <si>
    <t>Total 485 · ENGINEERING</t>
  </si>
  <si>
    <t>486 · BACKHOE/DUMP TRUCK RPRS</t>
  </si>
  <si>
    <t>Total 486 · BACKHOE/DUMP TRUCK RPRS</t>
  </si>
  <si>
    <t>487 · PROFESSIONAL SERVICES</t>
  </si>
  <si>
    <t>Total 487 · PROFESSIONAL SERVICES</t>
  </si>
  <si>
    <t>489 · PICKUP USAGE FEE</t>
  </si>
  <si>
    <t>Total 489 · PICKUP USAGE FEE</t>
  </si>
  <si>
    <t>490 · EMPLOYEE BENEFIT</t>
  </si>
  <si>
    <t>Total 490 · EMPLOYEE BENEFIT</t>
  </si>
  <si>
    <t>491 · FUEL</t>
  </si>
  <si>
    <t>Total 491 · FUEL</t>
  </si>
  <si>
    <t>493 · TRANSFER TO OTHER FUNDS</t>
  </si>
  <si>
    <t>Total 493 · TRANSFER TO OTHER FUNDS</t>
  </si>
  <si>
    <t>No accnt</t>
  </si>
  <si>
    <t>Total no accnt</t>
  </si>
  <si>
    <t>TOTAL</t>
  </si>
  <si>
    <t>Check</t>
  </si>
  <si>
    <t>Deposit</t>
  </si>
  <si>
    <t>General Journal</t>
  </si>
  <si>
    <t>5108</t>
  </si>
  <si>
    <t>5112</t>
  </si>
  <si>
    <t>5113</t>
  </si>
  <si>
    <t>5114</t>
  </si>
  <si>
    <t>5115</t>
  </si>
  <si>
    <t>5116</t>
  </si>
  <si>
    <t>5117</t>
  </si>
  <si>
    <t>5118</t>
  </si>
  <si>
    <t>5119</t>
  </si>
  <si>
    <t>5120</t>
  </si>
  <si>
    <t>5121</t>
  </si>
  <si>
    <t>5122</t>
  </si>
  <si>
    <t>DEBIT</t>
  </si>
  <si>
    <t>145</t>
  </si>
  <si>
    <t>5124</t>
  </si>
  <si>
    <t>5125</t>
  </si>
  <si>
    <t>5126</t>
  </si>
  <si>
    <t>5123</t>
  </si>
  <si>
    <t>5127</t>
  </si>
  <si>
    <t>5128</t>
  </si>
  <si>
    <t>AUTO DEBIT</t>
  </si>
  <si>
    <t>5129</t>
  </si>
  <si>
    <t>5136</t>
  </si>
  <si>
    <t>5137</t>
  </si>
  <si>
    <t>5130</t>
  </si>
  <si>
    <t>5131</t>
  </si>
  <si>
    <t>5132</t>
  </si>
  <si>
    <t>5133</t>
  </si>
  <si>
    <t>5134</t>
  </si>
  <si>
    <t>5135</t>
  </si>
  <si>
    <t>5138</t>
  </si>
  <si>
    <t>5139</t>
  </si>
  <si>
    <t>5140</t>
  </si>
  <si>
    <t>5141</t>
  </si>
  <si>
    <t>5142</t>
  </si>
  <si>
    <t>5143</t>
  </si>
  <si>
    <t>5144</t>
  </si>
  <si>
    <t>142</t>
  </si>
  <si>
    <t>143</t>
  </si>
  <si>
    <t>BELLOMY INSURANCE AGENCY</t>
  </si>
  <si>
    <t>CITY OF LAMAR</t>
  </si>
  <si>
    <t>COLORADO ANALYTICAL</t>
  </si>
  <si>
    <t>POST MASTER</t>
  </si>
  <si>
    <t>TOWN OF WILEY - GENERAL</t>
  </si>
  <si>
    <t>TOWN OF WILEY - UTILITY</t>
  </si>
  <si>
    <t>AMANDA BROWN</t>
  </si>
  <si>
    <t>COUNTY LINE</t>
  </si>
  <si>
    <t>ELEMENT ENGINEERING</t>
  </si>
  <si>
    <t>RMS UTILITIES INC</t>
  </si>
  <si>
    <t>BUTLER SNOW LLP</t>
  </si>
  <si>
    <t>COBANK</t>
  </si>
  <si>
    <t>PROWERS COUNTY TREASURER</t>
  </si>
  <si>
    <t>TRACTOR SUPPLY</t>
  </si>
  <si>
    <t>wire tr fee</t>
  </si>
  <si>
    <t>Interest</t>
  </si>
  <si>
    <t>wsd-wiley gardens</t>
  </si>
  <si>
    <t>DMR sample postage</t>
  </si>
  <si>
    <t>Service Charge</t>
  </si>
  <si>
    <t>REFUND OF BANK FEES</t>
  </si>
  <si>
    <t>COBANK FEES</t>
  </si>
  <si>
    <t>MNG</t>
  </si>
  <si>
    <t>SEWAGE SALES</t>
  </si>
  <si>
    <t>COLLECTION FEE</t>
  </si>
  <si>
    <t>LOAN DRAW</t>
  </si>
  <si>
    <t>PAY REQUEST 5</t>
  </si>
  <si>
    <t>COBANK PAY REQUEST 6</t>
  </si>
  <si>
    <t>DMR</t>
  </si>
  <si>
    <t>BUDGET</t>
  </si>
  <si>
    <t>STAMPS</t>
  </si>
  <si>
    <t>rate study</t>
  </si>
  <si>
    <t>PAY #1,2,AND 4</t>
  </si>
  <si>
    <t>ENGINEERING PAY #1,2&amp;4</t>
  </si>
  <si>
    <t>BOND COUNCIL</t>
  </si>
  <si>
    <t>COBANK ORIGINATION FEE AND INTEREST</t>
  </si>
  <si>
    <t>RATE STUDY-GENERAL ENGINEERING</t>
  </si>
  <si>
    <t>PAY REQUEST #5</t>
  </si>
  <si>
    <t>INV 542385</t>
  </si>
  <si>
    <t>PAY REQUEST #6</t>
  </si>
  <si>
    <t>INV 547319</t>
  </si>
  <si>
    <t>ACT 850-GOLD ADDITION</t>
  </si>
  <si>
    <t>ACT 8163-SEWER LAGOON</t>
  </si>
  <si>
    <t>ACT 8064-WELTON SEWER LIFT STATION</t>
  </si>
  <si>
    <t>33-000005-00 GOLD ADDITION</t>
  </si>
  <si>
    <t>33-000078-00 SEWER LAGOON</t>
  </si>
  <si>
    <t>33-000082-00 WELTON SEWER LIFT STATION</t>
  </si>
  <si>
    <t>SHOP SUPPLIES/TOOLS</t>
  </si>
  <si>
    <t>PROPERTY TAX</t>
  </si>
  <si>
    <t>PICKUP USAGE</t>
  </si>
  <si>
    <t>FUEL</t>
  </si>
  <si>
    <t>-SPLIT-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</si>
</sst>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-#,##0.00"/>
    <numFmt numFmtId="165" formatCode="mm/dd/yyyy"/>
  </numFmts>
  <fonts count="6" x14ac:knownFonts="1">
    <font>
      <sz val="11"/>
      <color theme="1"/>
      <name val="Aptos Narrow"/>
      <family val="2"/>
      <scheme val="minor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10"/>
      <name val="Arial"/>
    </font>
    <font>
      <sz val="11"/>
      <color rgb="FF000000"/>
      <name val="Calibri"/>
      <family val="2"/>
    </font>
    <font>
      <sz val="11"/>
      <color rgb="FF333333"/>
      <name val="Tahoma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3" fillId="0" borderId="0"/>
  </cellStyleXfs>
  <cellXfs count="18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  <xf numFmtId="49" fontId="2" fillId="0" borderId="0" xfId="0" applyNumberFormat="1" applyFont="1"/>
    <xf numFmtId="165" fontId="2" fillId="0" borderId="0" xfId="0" applyNumberFormat="1" applyFont="1"/>
    <xf numFmtId="164" fontId="2" fillId="0" borderId="0" xfId="0" applyNumberFormat="1" applyFont="1"/>
    <xf numFmtId="164" fontId="2" fillId="0" borderId="2" xfId="0" applyNumberFormat="1" applyFont="1" applyBorder="1"/>
    <xf numFmtId="164" fontId="2" fillId="0" borderId="0" xfId="0" applyNumberFormat="1" applyFont="1" applyBorder="1"/>
    <xf numFmtId="164" fontId="1" fillId="0" borderId="3" xfId="0" applyNumberFormat="1" applyFont="1" applyBorder="1"/>
    <xf numFmtId="0" fontId="1" fillId="0" borderId="0" xfId="0" applyFont="1"/>
    <xf numFmtId="49" fontId="0" fillId="0" borderId="0" xfId="0" applyNumberFormat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/>
    <xf numFmtId="0" fontId="4" fillId="0" borderId="0" xfId="1" applyFont="1"/>
    <xf numFmtId="0" fontId="5" fillId="0" borderId="0" xfId="1" applyFont="1"/>
  </cellXfs>
  <cellStyles count="2">
    <cellStyle name="Normal" xfId="0" builtinId="0"/>
    <cellStyle name="Normal 2" xfId="1" xr:uid="{A0326054-9DE8-46FF-B02B-47F410B31EB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885825</xdr:colOff>
      <xdr:row>30</xdr:row>
      <xdr:rowOff>66675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E93EE60F-96B3-4BBC-A946-DAB6D33795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2411075" cy="638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39BC5-7881-405A-8E30-E4899090E4C5}">
  <dimension ref="B1:C40"/>
  <sheetViews>
    <sheetView showGridLines="0" zoomScale="84" zoomScaleNormal="84" workbookViewId="0"/>
  </sheetViews>
  <sheetFormatPr defaultColWidth="8.85546875" defaultRowHeight="15" x14ac:dyDescent="0.25"/>
  <cols>
    <col min="1" max="1" width="3" style="16" customWidth="1"/>
    <col min="2" max="2" width="4.140625" style="16" customWidth="1"/>
    <col min="3" max="3" width="54" style="16" customWidth="1"/>
    <col min="4" max="4" width="3.7109375" style="16" customWidth="1"/>
    <col min="5" max="5" width="90.28515625" style="16" customWidth="1"/>
    <col min="6" max="7" width="8.85546875" style="16"/>
    <col min="8" max="8" width="15.42578125" style="16" customWidth="1"/>
    <col min="9" max="9" width="5.140625" style="16" customWidth="1"/>
    <col min="10" max="11" width="8.85546875" style="16"/>
    <col min="12" max="12" width="3" style="16" customWidth="1"/>
    <col min="13" max="15" width="8.85546875" style="16"/>
    <col min="16" max="16" width="7" style="16" customWidth="1"/>
    <col min="17" max="256" width="8.85546875" style="16"/>
    <col min="257" max="257" width="3" style="16" customWidth="1"/>
    <col min="258" max="258" width="4.140625" style="16" customWidth="1"/>
    <col min="259" max="259" width="54" style="16" customWidth="1"/>
    <col min="260" max="260" width="3.7109375" style="16" customWidth="1"/>
    <col min="261" max="261" width="90.28515625" style="16" customWidth="1"/>
    <col min="262" max="263" width="8.85546875" style="16"/>
    <col min="264" max="264" width="15.42578125" style="16" customWidth="1"/>
    <col min="265" max="265" width="5.140625" style="16" customWidth="1"/>
    <col min="266" max="267" width="8.85546875" style="16"/>
    <col min="268" max="268" width="3" style="16" customWidth="1"/>
    <col min="269" max="271" width="8.85546875" style="16"/>
    <col min="272" max="272" width="7" style="16" customWidth="1"/>
    <col min="273" max="512" width="8.85546875" style="16"/>
    <col min="513" max="513" width="3" style="16" customWidth="1"/>
    <col min="514" max="514" width="4.140625" style="16" customWidth="1"/>
    <col min="515" max="515" width="54" style="16" customWidth="1"/>
    <col min="516" max="516" width="3.7109375" style="16" customWidth="1"/>
    <col min="517" max="517" width="90.28515625" style="16" customWidth="1"/>
    <col min="518" max="519" width="8.85546875" style="16"/>
    <col min="520" max="520" width="15.42578125" style="16" customWidth="1"/>
    <col min="521" max="521" width="5.140625" style="16" customWidth="1"/>
    <col min="522" max="523" width="8.85546875" style="16"/>
    <col min="524" max="524" width="3" style="16" customWidth="1"/>
    <col min="525" max="527" width="8.85546875" style="16"/>
    <col min="528" max="528" width="7" style="16" customWidth="1"/>
    <col min="529" max="768" width="8.85546875" style="16"/>
    <col min="769" max="769" width="3" style="16" customWidth="1"/>
    <col min="770" max="770" width="4.140625" style="16" customWidth="1"/>
    <col min="771" max="771" width="54" style="16" customWidth="1"/>
    <col min="772" max="772" width="3.7109375" style="16" customWidth="1"/>
    <col min="773" max="773" width="90.28515625" style="16" customWidth="1"/>
    <col min="774" max="775" width="8.85546875" style="16"/>
    <col min="776" max="776" width="15.42578125" style="16" customWidth="1"/>
    <col min="777" max="777" width="5.140625" style="16" customWidth="1"/>
    <col min="778" max="779" width="8.85546875" style="16"/>
    <col min="780" max="780" width="3" style="16" customWidth="1"/>
    <col min="781" max="783" width="8.85546875" style="16"/>
    <col min="784" max="784" width="7" style="16" customWidth="1"/>
    <col min="785" max="1024" width="8.85546875" style="16"/>
    <col min="1025" max="1025" width="3" style="16" customWidth="1"/>
    <col min="1026" max="1026" width="4.140625" style="16" customWidth="1"/>
    <col min="1027" max="1027" width="54" style="16" customWidth="1"/>
    <col min="1028" max="1028" width="3.7109375" style="16" customWidth="1"/>
    <col min="1029" max="1029" width="90.28515625" style="16" customWidth="1"/>
    <col min="1030" max="1031" width="8.85546875" style="16"/>
    <col min="1032" max="1032" width="15.42578125" style="16" customWidth="1"/>
    <col min="1033" max="1033" width="5.140625" style="16" customWidth="1"/>
    <col min="1034" max="1035" width="8.85546875" style="16"/>
    <col min="1036" max="1036" width="3" style="16" customWidth="1"/>
    <col min="1037" max="1039" width="8.85546875" style="16"/>
    <col min="1040" max="1040" width="7" style="16" customWidth="1"/>
    <col min="1041" max="1280" width="8.85546875" style="16"/>
    <col min="1281" max="1281" width="3" style="16" customWidth="1"/>
    <col min="1282" max="1282" width="4.140625" style="16" customWidth="1"/>
    <col min="1283" max="1283" width="54" style="16" customWidth="1"/>
    <col min="1284" max="1284" width="3.7109375" style="16" customWidth="1"/>
    <col min="1285" max="1285" width="90.28515625" style="16" customWidth="1"/>
    <col min="1286" max="1287" width="8.85546875" style="16"/>
    <col min="1288" max="1288" width="15.42578125" style="16" customWidth="1"/>
    <col min="1289" max="1289" width="5.140625" style="16" customWidth="1"/>
    <col min="1290" max="1291" width="8.85546875" style="16"/>
    <col min="1292" max="1292" width="3" style="16" customWidth="1"/>
    <col min="1293" max="1295" width="8.85546875" style="16"/>
    <col min="1296" max="1296" width="7" style="16" customWidth="1"/>
    <col min="1297" max="1536" width="8.85546875" style="16"/>
    <col min="1537" max="1537" width="3" style="16" customWidth="1"/>
    <col min="1538" max="1538" width="4.140625" style="16" customWidth="1"/>
    <col min="1539" max="1539" width="54" style="16" customWidth="1"/>
    <col min="1540" max="1540" width="3.7109375" style="16" customWidth="1"/>
    <col min="1541" max="1541" width="90.28515625" style="16" customWidth="1"/>
    <col min="1542" max="1543" width="8.85546875" style="16"/>
    <col min="1544" max="1544" width="15.42578125" style="16" customWidth="1"/>
    <col min="1545" max="1545" width="5.140625" style="16" customWidth="1"/>
    <col min="1546" max="1547" width="8.85546875" style="16"/>
    <col min="1548" max="1548" width="3" style="16" customWidth="1"/>
    <col min="1549" max="1551" width="8.85546875" style="16"/>
    <col min="1552" max="1552" width="7" style="16" customWidth="1"/>
    <col min="1553" max="1792" width="8.85546875" style="16"/>
    <col min="1793" max="1793" width="3" style="16" customWidth="1"/>
    <col min="1794" max="1794" width="4.140625" style="16" customWidth="1"/>
    <col min="1795" max="1795" width="54" style="16" customWidth="1"/>
    <col min="1796" max="1796" width="3.7109375" style="16" customWidth="1"/>
    <col min="1797" max="1797" width="90.28515625" style="16" customWidth="1"/>
    <col min="1798" max="1799" width="8.85546875" style="16"/>
    <col min="1800" max="1800" width="15.42578125" style="16" customWidth="1"/>
    <col min="1801" max="1801" width="5.140625" style="16" customWidth="1"/>
    <col min="1802" max="1803" width="8.85546875" style="16"/>
    <col min="1804" max="1804" width="3" style="16" customWidth="1"/>
    <col min="1805" max="1807" width="8.85546875" style="16"/>
    <col min="1808" max="1808" width="7" style="16" customWidth="1"/>
    <col min="1809" max="2048" width="8.85546875" style="16"/>
    <col min="2049" max="2049" width="3" style="16" customWidth="1"/>
    <col min="2050" max="2050" width="4.140625" style="16" customWidth="1"/>
    <col min="2051" max="2051" width="54" style="16" customWidth="1"/>
    <col min="2052" max="2052" width="3.7109375" style="16" customWidth="1"/>
    <col min="2053" max="2053" width="90.28515625" style="16" customWidth="1"/>
    <col min="2054" max="2055" width="8.85546875" style="16"/>
    <col min="2056" max="2056" width="15.42578125" style="16" customWidth="1"/>
    <col min="2057" max="2057" width="5.140625" style="16" customWidth="1"/>
    <col min="2058" max="2059" width="8.85546875" style="16"/>
    <col min="2060" max="2060" width="3" style="16" customWidth="1"/>
    <col min="2061" max="2063" width="8.85546875" style="16"/>
    <col min="2064" max="2064" width="7" style="16" customWidth="1"/>
    <col min="2065" max="2304" width="8.85546875" style="16"/>
    <col min="2305" max="2305" width="3" style="16" customWidth="1"/>
    <col min="2306" max="2306" width="4.140625" style="16" customWidth="1"/>
    <col min="2307" max="2307" width="54" style="16" customWidth="1"/>
    <col min="2308" max="2308" width="3.7109375" style="16" customWidth="1"/>
    <col min="2309" max="2309" width="90.28515625" style="16" customWidth="1"/>
    <col min="2310" max="2311" width="8.85546875" style="16"/>
    <col min="2312" max="2312" width="15.42578125" style="16" customWidth="1"/>
    <col min="2313" max="2313" width="5.140625" style="16" customWidth="1"/>
    <col min="2314" max="2315" width="8.85546875" style="16"/>
    <col min="2316" max="2316" width="3" style="16" customWidth="1"/>
    <col min="2317" max="2319" width="8.85546875" style="16"/>
    <col min="2320" max="2320" width="7" style="16" customWidth="1"/>
    <col min="2321" max="2560" width="8.85546875" style="16"/>
    <col min="2561" max="2561" width="3" style="16" customWidth="1"/>
    <col min="2562" max="2562" width="4.140625" style="16" customWidth="1"/>
    <col min="2563" max="2563" width="54" style="16" customWidth="1"/>
    <col min="2564" max="2564" width="3.7109375" style="16" customWidth="1"/>
    <col min="2565" max="2565" width="90.28515625" style="16" customWidth="1"/>
    <col min="2566" max="2567" width="8.85546875" style="16"/>
    <col min="2568" max="2568" width="15.42578125" style="16" customWidth="1"/>
    <col min="2569" max="2569" width="5.140625" style="16" customWidth="1"/>
    <col min="2570" max="2571" width="8.85546875" style="16"/>
    <col min="2572" max="2572" width="3" style="16" customWidth="1"/>
    <col min="2573" max="2575" width="8.85546875" style="16"/>
    <col min="2576" max="2576" width="7" style="16" customWidth="1"/>
    <col min="2577" max="2816" width="8.85546875" style="16"/>
    <col min="2817" max="2817" width="3" style="16" customWidth="1"/>
    <col min="2818" max="2818" width="4.140625" style="16" customWidth="1"/>
    <col min="2819" max="2819" width="54" style="16" customWidth="1"/>
    <col min="2820" max="2820" width="3.7109375" style="16" customWidth="1"/>
    <col min="2821" max="2821" width="90.28515625" style="16" customWidth="1"/>
    <col min="2822" max="2823" width="8.85546875" style="16"/>
    <col min="2824" max="2824" width="15.42578125" style="16" customWidth="1"/>
    <col min="2825" max="2825" width="5.140625" style="16" customWidth="1"/>
    <col min="2826" max="2827" width="8.85546875" style="16"/>
    <col min="2828" max="2828" width="3" style="16" customWidth="1"/>
    <col min="2829" max="2831" width="8.85546875" style="16"/>
    <col min="2832" max="2832" width="7" style="16" customWidth="1"/>
    <col min="2833" max="3072" width="8.85546875" style="16"/>
    <col min="3073" max="3073" width="3" style="16" customWidth="1"/>
    <col min="3074" max="3074" width="4.140625" style="16" customWidth="1"/>
    <col min="3075" max="3075" width="54" style="16" customWidth="1"/>
    <col min="3076" max="3076" width="3.7109375" style="16" customWidth="1"/>
    <col min="3077" max="3077" width="90.28515625" style="16" customWidth="1"/>
    <col min="3078" max="3079" width="8.85546875" style="16"/>
    <col min="3080" max="3080" width="15.42578125" style="16" customWidth="1"/>
    <col min="3081" max="3081" width="5.140625" style="16" customWidth="1"/>
    <col min="3082" max="3083" width="8.85546875" style="16"/>
    <col min="3084" max="3084" width="3" style="16" customWidth="1"/>
    <col min="3085" max="3087" width="8.85546875" style="16"/>
    <col min="3088" max="3088" width="7" style="16" customWidth="1"/>
    <col min="3089" max="3328" width="8.85546875" style="16"/>
    <col min="3329" max="3329" width="3" style="16" customWidth="1"/>
    <col min="3330" max="3330" width="4.140625" style="16" customWidth="1"/>
    <col min="3331" max="3331" width="54" style="16" customWidth="1"/>
    <col min="3332" max="3332" width="3.7109375" style="16" customWidth="1"/>
    <col min="3333" max="3333" width="90.28515625" style="16" customWidth="1"/>
    <col min="3334" max="3335" width="8.85546875" style="16"/>
    <col min="3336" max="3336" width="15.42578125" style="16" customWidth="1"/>
    <col min="3337" max="3337" width="5.140625" style="16" customWidth="1"/>
    <col min="3338" max="3339" width="8.85546875" style="16"/>
    <col min="3340" max="3340" width="3" style="16" customWidth="1"/>
    <col min="3341" max="3343" width="8.85546875" style="16"/>
    <col min="3344" max="3344" width="7" style="16" customWidth="1"/>
    <col min="3345" max="3584" width="8.85546875" style="16"/>
    <col min="3585" max="3585" width="3" style="16" customWidth="1"/>
    <col min="3586" max="3586" width="4.140625" style="16" customWidth="1"/>
    <col min="3587" max="3587" width="54" style="16" customWidth="1"/>
    <col min="3588" max="3588" width="3.7109375" style="16" customWidth="1"/>
    <col min="3589" max="3589" width="90.28515625" style="16" customWidth="1"/>
    <col min="3590" max="3591" width="8.85546875" style="16"/>
    <col min="3592" max="3592" width="15.42578125" style="16" customWidth="1"/>
    <col min="3593" max="3593" width="5.140625" style="16" customWidth="1"/>
    <col min="3594" max="3595" width="8.85546875" style="16"/>
    <col min="3596" max="3596" width="3" style="16" customWidth="1"/>
    <col min="3597" max="3599" width="8.85546875" style="16"/>
    <col min="3600" max="3600" width="7" style="16" customWidth="1"/>
    <col min="3601" max="3840" width="8.85546875" style="16"/>
    <col min="3841" max="3841" width="3" style="16" customWidth="1"/>
    <col min="3842" max="3842" width="4.140625" style="16" customWidth="1"/>
    <col min="3843" max="3843" width="54" style="16" customWidth="1"/>
    <col min="3844" max="3844" width="3.7109375" style="16" customWidth="1"/>
    <col min="3845" max="3845" width="90.28515625" style="16" customWidth="1"/>
    <col min="3846" max="3847" width="8.85546875" style="16"/>
    <col min="3848" max="3848" width="15.42578125" style="16" customWidth="1"/>
    <col min="3849" max="3849" width="5.140625" style="16" customWidth="1"/>
    <col min="3850" max="3851" width="8.85546875" style="16"/>
    <col min="3852" max="3852" width="3" style="16" customWidth="1"/>
    <col min="3853" max="3855" width="8.85546875" style="16"/>
    <col min="3856" max="3856" width="7" style="16" customWidth="1"/>
    <col min="3857" max="4096" width="8.85546875" style="16"/>
    <col min="4097" max="4097" width="3" style="16" customWidth="1"/>
    <col min="4098" max="4098" width="4.140625" style="16" customWidth="1"/>
    <col min="4099" max="4099" width="54" style="16" customWidth="1"/>
    <col min="4100" max="4100" width="3.7109375" style="16" customWidth="1"/>
    <col min="4101" max="4101" width="90.28515625" style="16" customWidth="1"/>
    <col min="4102" max="4103" width="8.85546875" style="16"/>
    <col min="4104" max="4104" width="15.42578125" style="16" customWidth="1"/>
    <col min="4105" max="4105" width="5.140625" style="16" customWidth="1"/>
    <col min="4106" max="4107" width="8.85546875" style="16"/>
    <col min="4108" max="4108" width="3" style="16" customWidth="1"/>
    <col min="4109" max="4111" width="8.85546875" style="16"/>
    <col min="4112" max="4112" width="7" style="16" customWidth="1"/>
    <col min="4113" max="4352" width="8.85546875" style="16"/>
    <col min="4353" max="4353" width="3" style="16" customWidth="1"/>
    <col min="4354" max="4354" width="4.140625" style="16" customWidth="1"/>
    <col min="4355" max="4355" width="54" style="16" customWidth="1"/>
    <col min="4356" max="4356" width="3.7109375" style="16" customWidth="1"/>
    <col min="4357" max="4357" width="90.28515625" style="16" customWidth="1"/>
    <col min="4358" max="4359" width="8.85546875" style="16"/>
    <col min="4360" max="4360" width="15.42578125" style="16" customWidth="1"/>
    <col min="4361" max="4361" width="5.140625" style="16" customWidth="1"/>
    <col min="4362" max="4363" width="8.85546875" style="16"/>
    <col min="4364" max="4364" width="3" style="16" customWidth="1"/>
    <col min="4365" max="4367" width="8.85546875" style="16"/>
    <col min="4368" max="4368" width="7" style="16" customWidth="1"/>
    <col min="4369" max="4608" width="8.85546875" style="16"/>
    <col min="4609" max="4609" width="3" style="16" customWidth="1"/>
    <col min="4610" max="4610" width="4.140625" style="16" customWidth="1"/>
    <col min="4611" max="4611" width="54" style="16" customWidth="1"/>
    <col min="4612" max="4612" width="3.7109375" style="16" customWidth="1"/>
    <col min="4613" max="4613" width="90.28515625" style="16" customWidth="1"/>
    <col min="4614" max="4615" width="8.85546875" style="16"/>
    <col min="4616" max="4616" width="15.42578125" style="16" customWidth="1"/>
    <col min="4617" max="4617" width="5.140625" style="16" customWidth="1"/>
    <col min="4618" max="4619" width="8.85546875" style="16"/>
    <col min="4620" max="4620" width="3" style="16" customWidth="1"/>
    <col min="4621" max="4623" width="8.85546875" style="16"/>
    <col min="4624" max="4624" width="7" style="16" customWidth="1"/>
    <col min="4625" max="4864" width="8.85546875" style="16"/>
    <col min="4865" max="4865" width="3" style="16" customWidth="1"/>
    <col min="4866" max="4866" width="4.140625" style="16" customWidth="1"/>
    <col min="4867" max="4867" width="54" style="16" customWidth="1"/>
    <col min="4868" max="4868" width="3.7109375" style="16" customWidth="1"/>
    <col min="4869" max="4869" width="90.28515625" style="16" customWidth="1"/>
    <col min="4870" max="4871" width="8.85546875" style="16"/>
    <col min="4872" max="4872" width="15.42578125" style="16" customWidth="1"/>
    <col min="4873" max="4873" width="5.140625" style="16" customWidth="1"/>
    <col min="4874" max="4875" width="8.85546875" style="16"/>
    <col min="4876" max="4876" width="3" style="16" customWidth="1"/>
    <col min="4877" max="4879" width="8.85546875" style="16"/>
    <col min="4880" max="4880" width="7" style="16" customWidth="1"/>
    <col min="4881" max="5120" width="8.85546875" style="16"/>
    <col min="5121" max="5121" width="3" style="16" customWidth="1"/>
    <col min="5122" max="5122" width="4.140625" style="16" customWidth="1"/>
    <col min="5123" max="5123" width="54" style="16" customWidth="1"/>
    <col min="5124" max="5124" width="3.7109375" style="16" customWidth="1"/>
    <col min="5125" max="5125" width="90.28515625" style="16" customWidth="1"/>
    <col min="5126" max="5127" width="8.85546875" style="16"/>
    <col min="5128" max="5128" width="15.42578125" style="16" customWidth="1"/>
    <col min="5129" max="5129" width="5.140625" style="16" customWidth="1"/>
    <col min="5130" max="5131" width="8.85546875" style="16"/>
    <col min="5132" max="5132" width="3" style="16" customWidth="1"/>
    <col min="5133" max="5135" width="8.85546875" style="16"/>
    <col min="5136" max="5136" width="7" style="16" customWidth="1"/>
    <col min="5137" max="5376" width="8.85546875" style="16"/>
    <col min="5377" max="5377" width="3" style="16" customWidth="1"/>
    <col min="5378" max="5378" width="4.140625" style="16" customWidth="1"/>
    <col min="5379" max="5379" width="54" style="16" customWidth="1"/>
    <col min="5380" max="5380" width="3.7109375" style="16" customWidth="1"/>
    <col min="5381" max="5381" width="90.28515625" style="16" customWidth="1"/>
    <col min="5382" max="5383" width="8.85546875" style="16"/>
    <col min="5384" max="5384" width="15.42578125" style="16" customWidth="1"/>
    <col min="5385" max="5385" width="5.140625" style="16" customWidth="1"/>
    <col min="5386" max="5387" width="8.85546875" style="16"/>
    <col min="5388" max="5388" width="3" style="16" customWidth="1"/>
    <col min="5389" max="5391" width="8.85546875" style="16"/>
    <col min="5392" max="5392" width="7" style="16" customWidth="1"/>
    <col min="5393" max="5632" width="8.85546875" style="16"/>
    <col min="5633" max="5633" width="3" style="16" customWidth="1"/>
    <col min="5634" max="5634" width="4.140625" style="16" customWidth="1"/>
    <col min="5635" max="5635" width="54" style="16" customWidth="1"/>
    <col min="5636" max="5636" width="3.7109375" style="16" customWidth="1"/>
    <col min="5637" max="5637" width="90.28515625" style="16" customWidth="1"/>
    <col min="5638" max="5639" width="8.85546875" style="16"/>
    <col min="5640" max="5640" width="15.42578125" style="16" customWidth="1"/>
    <col min="5641" max="5641" width="5.140625" style="16" customWidth="1"/>
    <col min="5642" max="5643" width="8.85546875" style="16"/>
    <col min="5644" max="5644" width="3" style="16" customWidth="1"/>
    <col min="5645" max="5647" width="8.85546875" style="16"/>
    <col min="5648" max="5648" width="7" style="16" customWidth="1"/>
    <col min="5649" max="5888" width="8.85546875" style="16"/>
    <col min="5889" max="5889" width="3" style="16" customWidth="1"/>
    <col min="5890" max="5890" width="4.140625" style="16" customWidth="1"/>
    <col min="5891" max="5891" width="54" style="16" customWidth="1"/>
    <col min="5892" max="5892" width="3.7109375" style="16" customWidth="1"/>
    <col min="5893" max="5893" width="90.28515625" style="16" customWidth="1"/>
    <col min="5894" max="5895" width="8.85546875" style="16"/>
    <col min="5896" max="5896" width="15.42578125" style="16" customWidth="1"/>
    <col min="5897" max="5897" width="5.140625" style="16" customWidth="1"/>
    <col min="5898" max="5899" width="8.85546875" style="16"/>
    <col min="5900" max="5900" width="3" style="16" customWidth="1"/>
    <col min="5901" max="5903" width="8.85546875" style="16"/>
    <col min="5904" max="5904" width="7" style="16" customWidth="1"/>
    <col min="5905" max="6144" width="8.85546875" style="16"/>
    <col min="6145" max="6145" width="3" style="16" customWidth="1"/>
    <col min="6146" max="6146" width="4.140625" style="16" customWidth="1"/>
    <col min="6147" max="6147" width="54" style="16" customWidth="1"/>
    <col min="6148" max="6148" width="3.7109375" style="16" customWidth="1"/>
    <col min="6149" max="6149" width="90.28515625" style="16" customWidth="1"/>
    <col min="6150" max="6151" width="8.85546875" style="16"/>
    <col min="6152" max="6152" width="15.42578125" style="16" customWidth="1"/>
    <col min="6153" max="6153" width="5.140625" style="16" customWidth="1"/>
    <col min="6154" max="6155" width="8.85546875" style="16"/>
    <col min="6156" max="6156" width="3" style="16" customWidth="1"/>
    <col min="6157" max="6159" width="8.85546875" style="16"/>
    <col min="6160" max="6160" width="7" style="16" customWidth="1"/>
    <col min="6161" max="6400" width="8.85546875" style="16"/>
    <col min="6401" max="6401" width="3" style="16" customWidth="1"/>
    <col min="6402" max="6402" width="4.140625" style="16" customWidth="1"/>
    <col min="6403" max="6403" width="54" style="16" customWidth="1"/>
    <col min="6404" max="6404" width="3.7109375" style="16" customWidth="1"/>
    <col min="6405" max="6405" width="90.28515625" style="16" customWidth="1"/>
    <col min="6406" max="6407" width="8.85546875" style="16"/>
    <col min="6408" max="6408" width="15.42578125" style="16" customWidth="1"/>
    <col min="6409" max="6409" width="5.140625" style="16" customWidth="1"/>
    <col min="6410" max="6411" width="8.85546875" style="16"/>
    <col min="6412" max="6412" width="3" style="16" customWidth="1"/>
    <col min="6413" max="6415" width="8.85546875" style="16"/>
    <col min="6416" max="6416" width="7" style="16" customWidth="1"/>
    <col min="6417" max="6656" width="8.85546875" style="16"/>
    <col min="6657" max="6657" width="3" style="16" customWidth="1"/>
    <col min="6658" max="6658" width="4.140625" style="16" customWidth="1"/>
    <col min="6659" max="6659" width="54" style="16" customWidth="1"/>
    <col min="6660" max="6660" width="3.7109375" style="16" customWidth="1"/>
    <col min="6661" max="6661" width="90.28515625" style="16" customWidth="1"/>
    <col min="6662" max="6663" width="8.85546875" style="16"/>
    <col min="6664" max="6664" width="15.42578125" style="16" customWidth="1"/>
    <col min="6665" max="6665" width="5.140625" style="16" customWidth="1"/>
    <col min="6666" max="6667" width="8.85546875" style="16"/>
    <col min="6668" max="6668" width="3" style="16" customWidth="1"/>
    <col min="6669" max="6671" width="8.85546875" style="16"/>
    <col min="6672" max="6672" width="7" style="16" customWidth="1"/>
    <col min="6673" max="6912" width="8.85546875" style="16"/>
    <col min="6913" max="6913" width="3" style="16" customWidth="1"/>
    <col min="6914" max="6914" width="4.140625" style="16" customWidth="1"/>
    <col min="6915" max="6915" width="54" style="16" customWidth="1"/>
    <col min="6916" max="6916" width="3.7109375" style="16" customWidth="1"/>
    <col min="6917" max="6917" width="90.28515625" style="16" customWidth="1"/>
    <col min="6918" max="6919" width="8.85546875" style="16"/>
    <col min="6920" max="6920" width="15.42578125" style="16" customWidth="1"/>
    <col min="6921" max="6921" width="5.140625" style="16" customWidth="1"/>
    <col min="6922" max="6923" width="8.85546875" style="16"/>
    <col min="6924" max="6924" width="3" style="16" customWidth="1"/>
    <col min="6925" max="6927" width="8.85546875" style="16"/>
    <col min="6928" max="6928" width="7" style="16" customWidth="1"/>
    <col min="6929" max="7168" width="8.85546875" style="16"/>
    <col min="7169" max="7169" width="3" style="16" customWidth="1"/>
    <col min="7170" max="7170" width="4.140625" style="16" customWidth="1"/>
    <col min="7171" max="7171" width="54" style="16" customWidth="1"/>
    <col min="7172" max="7172" width="3.7109375" style="16" customWidth="1"/>
    <col min="7173" max="7173" width="90.28515625" style="16" customWidth="1"/>
    <col min="7174" max="7175" width="8.85546875" style="16"/>
    <col min="7176" max="7176" width="15.42578125" style="16" customWidth="1"/>
    <col min="7177" max="7177" width="5.140625" style="16" customWidth="1"/>
    <col min="7178" max="7179" width="8.85546875" style="16"/>
    <col min="7180" max="7180" width="3" style="16" customWidth="1"/>
    <col min="7181" max="7183" width="8.85546875" style="16"/>
    <col min="7184" max="7184" width="7" style="16" customWidth="1"/>
    <col min="7185" max="7424" width="8.85546875" style="16"/>
    <col min="7425" max="7425" width="3" style="16" customWidth="1"/>
    <col min="7426" max="7426" width="4.140625" style="16" customWidth="1"/>
    <col min="7427" max="7427" width="54" style="16" customWidth="1"/>
    <col min="7428" max="7428" width="3.7109375" style="16" customWidth="1"/>
    <col min="7429" max="7429" width="90.28515625" style="16" customWidth="1"/>
    <col min="7430" max="7431" width="8.85546875" style="16"/>
    <col min="7432" max="7432" width="15.42578125" style="16" customWidth="1"/>
    <col min="7433" max="7433" width="5.140625" style="16" customWidth="1"/>
    <col min="7434" max="7435" width="8.85546875" style="16"/>
    <col min="7436" max="7436" width="3" style="16" customWidth="1"/>
    <col min="7437" max="7439" width="8.85546875" style="16"/>
    <col min="7440" max="7440" width="7" style="16" customWidth="1"/>
    <col min="7441" max="7680" width="8.85546875" style="16"/>
    <col min="7681" max="7681" width="3" style="16" customWidth="1"/>
    <col min="7682" max="7682" width="4.140625" style="16" customWidth="1"/>
    <col min="7683" max="7683" width="54" style="16" customWidth="1"/>
    <col min="7684" max="7684" width="3.7109375" style="16" customWidth="1"/>
    <col min="7685" max="7685" width="90.28515625" style="16" customWidth="1"/>
    <col min="7686" max="7687" width="8.85546875" style="16"/>
    <col min="7688" max="7688" width="15.42578125" style="16" customWidth="1"/>
    <col min="7689" max="7689" width="5.140625" style="16" customWidth="1"/>
    <col min="7690" max="7691" width="8.85546875" style="16"/>
    <col min="7692" max="7692" width="3" style="16" customWidth="1"/>
    <col min="7693" max="7695" width="8.85546875" style="16"/>
    <col min="7696" max="7696" width="7" style="16" customWidth="1"/>
    <col min="7697" max="7936" width="8.85546875" style="16"/>
    <col min="7937" max="7937" width="3" style="16" customWidth="1"/>
    <col min="7938" max="7938" width="4.140625" style="16" customWidth="1"/>
    <col min="7939" max="7939" width="54" style="16" customWidth="1"/>
    <col min="7940" max="7940" width="3.7109375" style="16" customWidth="1"/>
    <col min="7941" max="7941" width="90.28515625" style="16" customWidth="1"/>
    <col min="7942" max="7943" width="8.85546875" style="16"/>
    <col min="7944" max="7944" width="15.42578125" style="16" customWidth="1"/>
    <col min="7945" max="7945" width="5.140625" style="16" customWidth="1"/>
    <col min="7946" max="7947" width="8.85546875" style="16"/>
    <col min="7948" max="7948" width="3" style="16" customWidth="1"/>
    <col min="7949" max="7951" width="8.85546875" style="16"/>
    <col min="7952" max="7952" width="7" style="16" customWidth="1"/>
    <col min="7953" max="8192" width="8.85546875" style="16"/>
    <col min="8193" max="8193" width="3" style="16" customWidth="1"/>
    <col min="8194" max="8194" width="4.140625" style="16" customWidth="1"/>
    <col min="8195" max="8195" width="54" style="16" customWidth="1"/>
    <col min="8196" max="8196" width="3.7109375" style="16" customWidth="1"/>
    <col min="8197" max="8197" width="90.28515625" style="16" customWidth="1"/>
    <col min="8198" max="8199" width="8.85546875" style="16"/>
    <col min="8200" max="8200" width="15.42578125" style="16" customWidth="1"/>
    <col min="8201" max="8201" width="5.140625" style="16" customWidth="1"/>
    <col min="8202" max="8203" width="8.85546875" style="16"/>
    <col min="8204" max="8204" width="3" style="16" customWidth="1"/>
    <col min="8205" max="8207" width="8.85546875" style="16"/>
    <col min="8208" max="8208" width="7" style="16" customWidth="1"/>
    <col min="8209" max="8448" width="8.85546875" style="16"/>
    <col min="8449" max="8449" width="3" style="16" customWidth="1"/>
    <col min="8450" max="8450" width="4.140625" style="16" customWidth="1"/>
    <col min="8451" max="8451" width="54" style="16" customWidth="1"/>
    <col min="8452" max="8452" width="3.7109375" style="16" customWidth="1"/>
    <col min="8453" max="8453" width="90.28515625" style="16" customWidth="1"/>
    <col min="8454" max="8455" width="8.85546875" style="16"/>
    <col min="8456" max="8456" width="15.42578125" style="16" customWidth="1"/>
    <col min="8457" max="8457" width="5.140625" style="16" customWidth="1"/>
    <col min="8458" max="8459" width="8.85546875" style="16"/>
    <col min="8460" max="8460" width="3" style="16" customWidth="1"/>
    <col min="8461" max="8463" width="8.85546875" style="16"/>
    <col min="8464" max="8464" width="7" style="16" customWidth="1"/>
    <col min="8465" max="8704" width="8.85546875" style="16"/>
    <col min="8705" max="8705" width="3" style="16" customWidth="1"/>
    <col min="8706" max="8706" width="4.140625" style="16" customWidth="1"/>
    <col min="8707" max="8707" width="54" style="16" customWidth="1"/>
    <col min="8708" max="8708" width="3.7109375" style="16" customWidth="1"/>
    <col min="8709" max="8709" width="90.28515625" style="16" customWidth="1"/>
    <col min="8710" max="8711" width="8.85546875" style="16"/>
    <col min="8712" max="8712" width="15.42578125" style="16" customWidth="1"/>
    <col min="8713" max="8713" width="5.140625" style="16" customWidth="1"/>
    <col min="8714" max="8715" width="8.85546875" style="16"/>
    <col min="8716" max="8716" width="3" style="16" customWidth="1"/>
    <col min="8717" max="8719" width="8.85546875" style="16"/>
    <col min="8720" max="8720" width="7" style="16" customWidth="1"/>
    <col min="8721" max="8960" width="8.85546875" style="16"/>
    <col min="8961" max="8961" width="3" style="16" customWidth="1"/>
    <col min="8962" max="8962" width="4.140625" style="16" customWidth="1"/>
    <col min="8963" max="8963" width="54" style="16" customWidth="1"/>
    <col min="8964" max="8964" width="3.7109375" style="16" customWidth="1"/>
    <col min="8965" max="8965" width="90.28515625" style="16" customWidth="1"/>
    <col min="8966" max="8967" width="8.85546875" style="16"/>
    <col min="8968" max="8968" width="15.42578125" style="16" customWidth="1"/>
    <col min="8969" max="8969" width="5.140625" style="16" customWidth="1"/>
    <col min="8970" max="8971" width="8.85546875" style="16"/>
    <col min="8972" max="8972" width="3" style="16" customWidth="1"/>
    <col min="8973" max="8975" width="8.85546875" style="16"/>
    <col min="8976" max="8976" width="7" style="16" customWidth="1"/>
    <col min="8977" max="9216" width="8.85546875" style="16"/>
    <col min="9217" max="9217" width="3" style="16" customWidth="1"/>
    <col min="9218" max="9218" width="4.140625" style="16" customWidth="1"/>
    <col min="9219" max="9219" width="54" style="16" customWidth="1"/>
    <col min="9220" max="9220" width="3.7109375" style="16" customWidth="1"/>
    <col min="9221" max="9221" width="90.28515625" style="16" customWidth="1"/>
    <col min="9222" max="9223" width="8.85546875" style="16"/>
    <col min="9224" max="9224" width="15.42578125" style="16" customWidth="1"/>
    <col min="9225" max="9225" width="5.140625" style="16" customWidth="1"/>
    <col min="9226" max="9227" width="8.85546875" style="16"/>
    <col min="9228" max="9228" width="3" style="16" customWidth="1"/>
    <col min="9229" max="9231" width="8.85546875" style="16"/>
    <col min="9232" max="9232" width="7" style="16" customWidth="1"/>
    <col min="9233" max="9472" width="8.85546875" style="16"/>
    <col min="9473" max="9473" width="3" style="16" customWidth="1"/>
    <col min="9474" max="9474" width="4.140625" style="16" customWidth="1"/>
    <col min="9475" max="9475" width="54" style="16" customWidth="1"/>
    <col min="9476" max="9476" width="3.7109375" style="16" customWidth="1"/>
    <col min="9477" max="9477" width="90.28515625" style="16" customWidth="1"/>
    <col min="9478" max="9479" width="8.85546875" style="16"/>
    <col min="9480" max="9480" width="15.42578125" style="16" customWidth="1"/>
    <col min="9481" max="9481" width="5.140625" style="16" customWidth="1"/>
    <col min="9482" max="9483" width="8.85546875" style="16"/>
    <col min="9484" max="9484" width="3" style="16" customWidth="1"/>
    <col min="9485" max="9487" width="8.85546875" style="16"/>
    <col min="9488" max="9488" width="7" style="16" customWidth="1"/>
    <col min="9489" max="9728" width="8.85546875" style="16"/>
    <col min="9729" max="9729" width="3" style="16" customWidth="1"/>
    <col min="9730" max="9730" width="4.140625" style="16" customWidth="1"/>
    <col min="9731" max="9731" width="54" style="16" customWidth="1"/>
    <col min="9732" max="9732" width="3.7109375" style="16" customWidth="1"/>
    <col min="9733" max="9733" width="90.28515625" style="16" customWidth="1"/>
    <col min="9734" max="9735" width="8.85546875" style="16"/>
    <col min="9736" max="9736" width="15.42578125" style="16" customWidth="1"/>
    <col min="9737" max="9737" width="5.140625" style="16" customWidth="1"/>
    <col min="9738" max="9739" width="8.85546875" style="16"/>
    <col min="9740" max="9740" width="3" style="16" customWidth="1"/>
    <col min="9741" max="9743" width="8.85546875" style="16"/>
    <col min="9744" max="9744" width="7" style="16" customWidth="1"/>
    <col min="9745" max="9984" width="8.85546875" style="16"/>
    <col min="9985" max="9985" width="3" style="16" customWidth="1"/>
    <col min="9986" max="9986" width="4.140625" style="16" customWidth="1"/>
    <col min="9987" max="9987" width="54" style="16" customWidth="1"/>
    <col min="9988" max="9988" width="3.7109375" style="16" customWidth="1"/>
    <col min="9989" max="9989" width="90.28515625" style="16" customWidth="1"/>
    <col min="9990" max="9991" width="8.85546875" style="16"/>
    <col min="9992" max="9992" width="15.42578125" style="16" customWidth="1"/>
    <col min="9993" max="9993" width="5.140625" style="16" customWidth="1"/>
    <col min="9994" max="9995" width="8.85546875" style="16"/>
    <col min="9996" max="9996" width="3" style="16" customWidth="1"/>
    <col min="9997" max="9999" width="8.85546875" style="16"/>
    <col min="10000" max="10000" width="7" style="16" customWidth="1"/>
    <col min="10001" max="10240" width="8.85546875" style="16"/>
    <col min="10241" max="10241" width="3" style="16" customWidth="1"/>
    <col min="10242" max="10242" width="4.140625" style="16" customWidth="1"/>
    <col min="10243" max="10243" width="54" style="16" customWidth="1"/>
    <col min="10244" max="10244" width="3.7109375" style="16" customWidth="1"/>
    <col min="10245" max="10245" width="90.28515625" style="16" customWidth="1"/>
    <col min="10246" max="10247" width="8.85546875" style="16"/>
    <col min="10248" max="10248" width="15.42578125" style="16" customWidth="1"/>
    <col min="10249" max="10249" width="5.140625" style="16" customWidth="1"/>
    <col min="10250" max="10251" width="8.85546875" style="16"/>
    <col min="10252" max="10252" width="3" style="16" customWidth="1"/>
    <col min="10253" max="10255" width="8.85546875" style="16"/>
    <col min="10256" max="10256" width="7" style="16" customWidth="1"/>
    <col min="10257" max="10496" width="8.85546875" style="16"/>
    <col min="10497" max="10497" width="3" style="16" customWidth="1"/>
    <col min="10498" max="10498" width="4.140625" style="16" customWidth="1"/>
    <col min="10499" max="10499" width="54" style="16" customWidth="1"/>
    <col min="10500" max="10500" width="3.7109375" style="16" customWidth="1"/>
    <col min="10501" max="10501" width="90.28515625" style="16" customWidth="1"/>
    <col min="10502" max="10503" width="8.85546875" style="16"/>
    <col min="10504" max="10504" width="15.42578125" style="16" customWidth="1"/>
    <col min="10505" max="10505" width="5.140625" style="16" customWidth="1"/>
    <col min="10506" max="10507" width="8.85546875" style="16"/>
    <col min="10508" max="10508" width="3" style="16" customWidth="1"/>
    <col min="10509" max="10511" width="8.85546875" style="16"/>
    <col min="10512" max="10512" width="7" style="16" customWidth="1"/>
    <col min="10513" max="10752" width="8.85546875" style="16"/>
    <col min="10753" max="10753" width="3" style="16" customWidth="1"/>
    <col min="10754" max="10754" width="4.140625" style="16" customWidth="1"/>
    <col min="10755" max="10755" width="54" style="16" customWidth="1"/>
    <col min="10756" max="10756" width="3.7109375" style="16" customWidth="1"/>
    <col min="10757" max="10757" width="90.28515625" style="16" customWidth="1"/>
    <col min="10758" max="10759" width="8.85546875" style="16"/>
    <col min="10760" max="10760" width="15.42578125" style="16" customWidth="1"/>
    <col min="10761" max="10761" width="5.140625" style="16" customWidth="1"/>
    <col min="10762" max="10763" width="8.85546875" style="16"/>
    <col min="10764" max="10764" width="3" style="16" customWidth="1"/>
    <col min="10765" max="10767" width="8.85546875" style="16"/>
    <col min="10768" max="10768" width="7" style="16" customWidth="1"/>
    <col min="10769" max="11008" width="8.85546875" style="16"/>
    <col min="11009" max="11009" width="3" style="16" customWidth="1"/>
    <col min="11010" max="11010" width="4.140625" style="16" customWidth="1"/>
    <col min="11011" max="11011" width="54" style="16" customWidth="1"/>
    <col min="11012" max="11012" width="3.7109375" style="16" customWidth="1"/>
    <col min="11013" max="11013" width="90.28515625" style="16" customWidth="1"/>
    <col min="11014" max="11015" width="8.85546875" style="16"/>
    <col min="11016" max="11016" width="15.42578125" style="16" customWidth="1"/>
    <col min="11017" max="11017" width="5.140625" style="16" customWidth="1"/>
    <col min="11018" max="11019" width="8.85546875" style="16"/>
    <col min="11020" max="11020" width="3" style="16" customWidth="1"/>
    <col min="11021" max="11023" width="8.85546875" style="16"/>
    <col min="11024" max="11024" width="7" style="16" customWidth="1"/>
    <col min="11025" max="11264" width="8.85546875" style="16"/>
    <col min="11265" max="11265" width="3" style="16" customWidth="1"/>
    <col min="11266" max="11266" width="4.140625" style="16" customWidth="1"/>
    <col min="11267" max="11267" width="54" style="16" customWidth="1"/>
    <col min="11268" max="11268" width="3.7109375" style="16" customWidth="1"/>
    <col min="11269" max="11269" width="90.28515625" style="16" customWidth="1"/>
    <col min="11270" max="11271" width="8.85546875" style="16"/>
    <col min="11272" max="11272" width="15.42578125" style="16" customWidth="1"/>
    <col min="11273" max="11273" width="5.140625" style="16" customWidth="1"/>
    <col min="11274" max="11275" width="8.85546875" style="16"/>
    <col min="11276" max="11276" width="3" style="16" customWidth="1"/>
    <col min="11277" max="11279" width="8.85546875" style="16"/>
    <col min="11280" max="11280" width="7" style="16" customWidth="1"/>
    <col min="11281" max="11520" width="8.85546875" style="16"/>
    <col min="11521" max="11521" width="3" style="16" customWidth="1"/>
    <col min="11522" max="11522" width="4.140625" style="16" customWidth="1"/>
    <col min="11523" max="11523" width="54" style="16" customWidth="1"/>
    <col min="11524" max="11524" width="3.7109375" style="16" customWidth="1"/>
    <col min="11525" max="11525" width="90.28515625" style="16" customWidth="1"/>
    <col min="11526" max="11527" width="8.85546875" style="16"/>
    <col min="11528" max="11528" width="15.42578125" style="16" customWidth="1"/>
    <col min="11529" max="11529" width="5.140625" style="16" customWidth="1"/>
    <col min="11530" max="11531" width="8.85546875" style="16"/>
    <col min="11532" max="11532" width="3" style="16" customWidth="1"/>
    <col min="11533" max="11535" width="8.85546875" style="16"/>
    <col min="11536" max="11536" width="7" style="16" customWidth="1"/>
    <col min="11537" max="11776" width="8.85546875" style="16"/>
    <col min="11777" max="11777" width="3" style="16" customWidth="1"/>
    <col min="11778" max="11778" width="4.140625" style="16" customWidth="1"/>
    <col min="11779" max="11779" width="54" style="16" customWidth="1"/>
    <col min="11780" max="11780" width="3.7109375" style="16" customWidth="1"/>
    <col min="11781" max="11781" width="90.28515625" style="16" customWidth="1"/>
    <col min="11782" max="11783" width="8.85546875" style="16"/>
    <col min="11784" max="11784" width="15.42578125" style="16" customWidth="1"/>
    <col min="11785" max="11785" width="5.140625" style="16" customWidth="1"/>
    <col min="11786" max="11787" width="8.85546875" style="16"/>
    <col min="11788" max="11788" width="3" style="16" customWidth="1"/>
    <col min="11789" max="11791" width="8.85546875" style="16"/>
    <col min="11792" max="11792" width="7" style="16" customWidth="1"/>
    <col min="11793" max="12032" width="8.85546875" style="16"/>
    <col min="12033" max="12033" width="3" style="16" customWidth="1"/>
    <col min="12034" max="12034" width="4.140625" style="16" customWidth="1"/>
    <col min="12035" max="12035" width="54" style="16" customWidth="1"/>
    <col min="12036" max="12036" width="3.7109375" style="16" customWidth="1"/>
    <col min="12037" max="12037" width="90.28515625" style="16" customWidth="1"/>
    <col min="12038" max="12039" width="8.85546875" style="16"/>
    <col min="12040" max="12040" width="15.42578125" style="16" customWidth="1"/>
    <col min="12041" max="12041" width="5.140625" style="16" customWidth="1"/>
    <col min="12042" max="12043" width="8.85546875" style="16"/>
    <col min="12044" max="12044" width="3" style="16" customWidth="1"/>
    <col min="12045" max="12047" width="8.85546875" style="16"/>
    <col min="12048" max="12048" width="7" style="16" customWidth="1"/>
    <col min="12049" max="12288" width="8.85546875" style="16"/>
    <col min="12289" max="12289" width="3" style="16" customWidth="1"/>
    <col min="12290" max="12290" width="4.140625" style="16" customWidth="1"/>
    <col min="12291" max="12291" width="54" style="16" customWidth="1"/>
    <col min="12292" max="12292" width="3.7109375" style="16" customWidth="1"/>
    <col min="12293" max="12293" width="90.28515625" style="16" customWidth="1"/>
    <col min="12294" max="12295" width="8.85546875" style="16"/>
    <col min="12296" max="12296" width="15.42578125" style="16" customWidth="1"/>
    <col min="12297" max="12297" width="5.140625" style="16" customWidth="1"/>
    <col min="12298" max="12299" width="8.85546875" style="16"/>
    <col min="12300" max="12300" width="3" style="16" customWidth="1"/>
    <col min="12301" max="12303" width="8.85546875" style="16"/>
    <col min="12304" max="12304" width="7" style="16" customWidth="1"/>
    <col min="12305" max="12544" width="8.85546875" style="16"/>
    <col min="12545" max="12545" width="3" style="16" customWidth="1"/>
    <col min="12546" max="12546" width="4.140625" style="16" customWidth="1"/>
    <col min="12547" max="12547" width="54" style="16" customWidth="1"/>
    <col min="12548" max="12548" width="3.7109375" style="16" customWidth="1"/>
    <col min="12549" max="12549" width="90.28515625" style="16" customWidth="1"/>
    <col min="12550" max="12551" width="8.85546875" style="16"/>
    <col min="12552" max="12552" width="15.42578125" style="16" customWidth="1"/>
    <col min="12553" max="12553" width="5.140625" style="16" customWidth="1"/>
    <col min="12554" max="12555" width="8.85546875" style="16"/>
    <col min="12556" max="12556" width="3" style="16" customWidth="1"/>
    <col min="12557" max="12559" width="8.85546875" style="16"/>
    <col min="12560" max="12560" width="7" style="16" customWidth="1"/>
    <col min="12561" max="12800" width="8.85546875" style="16"/>
    <col min="12801" max="12801" width="3" style="16" customWidth="1"/>
    <col min="12802" max="12802" width="4.140625" style="16" customWidth="1"/>
    <col min="12803" max="12803" width="54" style="16" customWidth="1"/>
    <col min="12804" max="12804" width="3.7109375" style="16" customWidth="1"/>
    <col min="12805" max="12805" width="90.28515625" style="16" customWidth="1"/>
    <col min="12806" max="12807" width="8.85546875" style="16"/>
    <col min="12808" max="12808" width="15.42578125" style="16" customWidth="1"/>
    <col min="12809" max="12809" width="5.140625" style="16" customWidth="1"/>
    <col min="12810" max="12811" width="8.85546875" style="16"/>
    <col min="12812" max="12812" width="3" style="16" customWidth="1"/>
    <col min="12813" max="12815" width="8.85546875" style="16"/>
    <col min="12816" max="12816" width="7" style="16" customWidth="1"/>
    <col min="12817" max="13056" width="8.85546875" style="16"/>
    <col min="13057" max="13057" width="3" style="16" customWidth="1"/>
    <col min="13058" max="13058" width="4.140625" style="16" customWidth="1"/>
    <col min="13059" max="13059" width="54" style="16" customWidth="1"/>
    <col min="13060" max="13060" width="3.7109375" style="16" customWidth="1"/>
    <col min="13061" max="13061" width="90.28515625" style="16" customWidth="1"/>
    <col min="13062" max="13063" width="8.85546875" style="16"/>
    <col min="13064" max="13064" width="15.42578125" style="16" customWidth="1"/>
    <col min="13065" max="13065" width="5.140625" style="16" customWidth="1"/>
    <col min="13066" max="13067" width="8.85546875" style="16"/>
    <col min="13068" max="13068" width="3" style="16" customWidth="1"/>
    <col min="13069" max="13071" width="8.85546875" style="16"/>
    <col min="13072" max="13072" width="7" style="16" customWidth="1"/>
    <col min="13073" max="13312" width="8.85546875" style="16"/>
    <col min="13313" max="13313" width="3" style="16" customWidth="1"/>
    <col min="13314" max="13314" width="4.140625" style="16" customWidth="1"/>
    <col min="13315" max="13315" width="54" style="16" customWidth="1"/>
    <col min="13316" max="13316" width="3.7109375" style="16" customWidth="1"/>
    <col min="13317" max="13317" width="90.28515625" style="16" customWidth="1"/>
    <col min="13318" max="13319" width="8.85546875" style="16"/>
    <col min="13320" max="13320" width="15.42578125" style="16" customWidth="1"/>
    <col min="13321" max="13321" width="5.140625" style="16" customWidth="1"/>
    <col min="13322" max="13323" width="8.85546875" style="16"/>
    <col min="13324" max="13324" width="3" style="16" customWidth="1"/>
    <col min="13325" max="13327" width="8.85546875" style="16"/>
    <col min="13328" max="13328" width="7" style="16" customWidth="1"/>
    <col min="13329" max="13568" width="8.85546875" style="16"/>
    <col min="13569" max="13569" width="3" style="16" customWidth="1"/>
    <col min="13570" max="13570" width="4.140625" style="16" customWidth="1"/>
    <col min="13571" max="13571" width="54" style="16" customWidth="1"/>
    <col min="13572" max="13572" width="3.7109375" style="16" customWidth="1"/>
    <col min="13573" max="13573" width="90.28515625" style="16" customWidth="1"/>
    <col min="13574" max="13575" width="8.85546875" style="16"/>
    <col min="13576" max="13576" width="15.42578125" style="16" customWidth="1"/>
    <col min="13577" max="13577" width="5.140625" style="16" customWidth="1"/>
    <col min="13578" max="13579" width="8.85546875" style="16"/>
    <col min="13580" max="13580" width="3" style="16" customWidth="1"/>
    <col min="13581" max="13583" width="8.85546875" style="16"/>
    <col min="13584" max="13584" width="7" style="16" customWidth="1"/>
    <col min="13585" max="13824" width="8.85546875" style="16"/>
    <col min="13825" max="13825" width="3" style="16" customWidth="1"/>
    <col min="13826" max="13826" width="4.140625" style="16" customWidth="1"/>
    <col min="13827" max="13827" width="54" style="16" customWidth="1"/>
    <col min="13828" max="13828" width="3.7109375" style="16" customWidth="1"/>
    <col min="13829" max="13829" width="90.28515625" style="16" customWidth="1"/>
    <col min="13830" max="13831" width="8.85546875" style="16"/>
    <col min="13832" max="13832" width="15.42578125" style="16" customWidth="1"/>
    <col min="13833" max="13833" width="5.140625" style="16" customWidth="1"/>
    <col min="13834" max="13835" width="8.85546875" style="16"/>
    <col min="13836" max="13836" width="3" style="16" customWidth="1"/>
    <col min="13837" max="13839" width="8.85546875" style="16"/>
    <col min="13840" max="13840" width="7" style="16" customWidth="1"/>
    <col min="13841" max="14080" width="8.85546875" style="16"/>
    <col min="14081" max="14081" width="3" style="16" customWidth="1"/>
    <col min="14082" max="14082" width="4.140625" style="16" customWidth="1"/>
    <col min="14083" max="14083" width="54" style="16" customWidth="1"/>
    <col min="14084" max="14084" width="3.7109375" style="16" customWidth="1"/>
    <col min="14085" max="14085" width="90.28515625" style="16" customWidth="1"/>
    <col min="14086" max="14087" width="8.85546875" style="16"/>
    <col min="14088" max="14088" width="15.42578125" style="16" customWidth="1"/>
    <col min="14089" max="14089" width="5.140625" style="16" customWidth="1"/>
    <col min="14090" max="14091" width="8.85546875" style="16"/>
    <col min="14092" max="14092" width="3" style="16" customWidth="1"/>
    <col min="14093" max="14095" width="8.85546875" style="16"/>
    <col min="14096" max="14096" width="7" style="16" customWidth="1"/>
    <col min="14097" max="14336" width="8.85546875" style="16"/>
    <col min="14337" max="14337" width="3" style="16" customWidth="1"/>
    <col min="14338" max="14338" width="4.140625" style="16" customWidth="1"/>
    <col min="14339" max="14339" width="54" style="16" customWidth="1"/>
    <col min="14340" max="14340" width="3.7109375" style="16" customWidth="1"/>
    <col min="14341" max="14341" width="90.28515625" style="16" customWidth="1"/>
    <col min="14342" max="14343" width="8.85546875" style="16"/>
    <col min="14344" max="14344" width="15.42578125" style="16" customWidth="1"/>
    <col min="14345" max="14345" width="5.140625" style="16" customWidth="1"/>
    <col min="14346" max="14347" width="8.85546875" style="16"/>
    <col min="14348" max="14348" width="3" style="16" customWidth="1"/>
    <col min="14349" max="14351" width="8.85546875" style="16"/>
    <col min="14352" max="14352" width="7" style="16" customWidth="1"/>
    <col min="14353" max="14592" width="8.85546875" style="16"/>
    <col min="14593" max="14593" width="3" style="16" customWidth="1"/>
    <col min="14594" max="14594" width="4.140625" style="16" customWidth="1"/>
    <col min="14595" max="14595" width="54" style="16" customWidth="1"/>
    <col min="14596" max="14596" width="3.7109375" style="16" customWidth="1"/>
    <col min="14597" max="14597" width="90.28515625" style="16" customWidth="1"/>
    <col min="14598" max="14599" width="8.85546875" style="16"/>
    <col min="14600" max="14600" width="15.42578125" style="16" customWidth="1"/>
    <col min="14601" max="14601" width="5.140625" style="16" customWidth="1"/>
    <col min="14602" max="14603" width="8.85546875" style="16"/>
    <col min="14604" max="14604" width="3" style="16" customWidth="1"/>
    <col min="14605" max="14607" width="8.85546875" style="16"/>
    <col min="14608" max="14608" width="7" style="16" customWidth="1"/>
    <col min="14609" max="14848" width="8.85546875" style="16"/>
    <col min="14849" max="14849" width="3" style="16" customWidth="1"/>
    <col min="14850" max="14850" width="4.140625" style="16" customWidth="1"/>
    <col min="14851" max="14851" width="54" style="16" customWidth="1"/>
    <col min="14852" max="14852" width="3.7109375" style="16" customWidth="1"/>
    <col min="14853" max="14853" width="90.28515625" style="16" customWidth="1"/>
    <col min="14854" max="14855" width="8.85546875" style="16"/>
    <col min="14856" max="14856" width="15.42578125" style="16" customWidth="1"/>
    <col min="14857" max="14857" width="5.140625" style="16" customWidth="1"/>
    <col min="14858" max="14859" width="8.85546875" style="16"/>
    <col min="14860" max="14860" width="3" style="16" customWidth="1"/>
    <col min="14861" max="14863" width="8.85546875" style="16"/>
    <col min="14864" max="14864" width="7" style="16" customWidth="1"/>
    <col min="14865" max="15104" width="8.85546875" style="16"/>
    <col min="15105" max="15105" width="3" style="16" customWidth="1"/>
    <col min="15106" max="15106" width="4.140625" style="16" customWidth="1"/>
    <col min="15107" max="15107" width="54" style="16" customWidth="1"/>
    <col min="15108" max="15108" width="3.7109375" style="16" customWidth="1"/>
    <col min="15109" max="15109" width="90.28515625" style="16" customWidth="1"/>
    <col min="15110" max="15111" width="8.85546875" style="16"/>
    <col min="15112" max="15112" width="15.42578125" style="16" customWidth="1"/>
    <col min="15113" max="15113" width="5.140625" style="16" customWidth="1"/>
    <col min="15114" max="15115" width="8.85546875" style="16"/>
    <col min="15116" max="15116" width="3" style="16" customWidth="1"/>
    <col min="15117" max="15119" width="8.85546875" style="16"/>
    <col min="15120" max="15120" width="7" style="16" customWidth="1"/>
    <col min="15121" max="15360" width="8.85546875" style="16"/>
    <col min="15361" max="15361" width="3" style="16" customWidth="1"/>
    <col min="15362" max="15362" width="4.140625" style="16" customWidth="1"/>
    <col min="15363" max="15363" width="54" style="16" customWidth="1"/>
    <col min="15364" max="15364" width="3.7109375" style="16" customWidth="1"/>
    <col min="15365" max="15365" width="90.28515625" style="16" customWidth="1"/>
    <col min="15366" max="15367" width="8.85546875" style="16"/>
    <col min="15368" max="15368" width="15.42578125" style="16" customWidth="1"/>
    <col min="15369" max="15369" width="5.140625" style="16" customWidth="1"/>
    <col min="15370" max="15371" width="8.85546875" style="16"/>
    <col min="15372" max="15372" width="3" style="16" customWidth="1"/>
    <col min="15373" max="15375" width="8.85546875" style="16"/>
    <col min="15376" max="15376" width="7" style="16" customWidth="1"/>
    <col min="15377" max="15616" width="8.85546875" style="16"/>
    <col min="15617" max="15617" width="3" style="16" customWidth="1"/>
    <col min="15618" max="15618" width="4.140625" style="16" customWidth="1"/>
    <col min="15619" max="15619" width="54" style="16" customWidth="1"/>
    <col min="15620" max="15620" width="3.7109375" style="16" customWidth="1"/>
    <col min="15621" max="15621" width="90.28515625" style="16" customWidth="1"/>
    <col min="15622" max="15623" width="8.85546875" style="16"/>
    <col min="15624" max="15624" width="15.42578125" style="16" customWidth="1"/>
    <col min="15625" max="15625" width="5.140625" style="16" customWidth="1"/>
    <col min="15626" max="15627" width="8.85546875" style="16"/>
    <col min="15628" max="15628" width="3" style="16" customWidth="1"/>
    <col min="15629" max="15631" width="8.85546875" style="16"/>
    <col min="15632" max="15632" width="7" style="16" customWidth="1"/>
    <col min="15633" max="15872" width="8.85546875" style="16"/>
    <col min="15873" max="15873" width="3" style="16" customWidth="1"/>
    <col min="15874" max="15874" width="4.140625" style="16" customWidth="1"/>
    <col min="15875" max="15875" width="54" style="16" customWidth="1"/>
    <col min="15876" max="15876" width="3.7109375" style="16" customWidth="1"/>
    <col min="15877" max="15877" width="90.28515625" style="16" customWidth="1"/>
    <col min="15878" max="15879" width="8.85546875" style="16"/>
    <col min="15880" max="15880" width="15.42578125" style="16" customWidth="1"/>
    <col min="15881" max="15881" width="5.140625" style="16" customWidth="1"/>
    <col min="15882" max="15883" width="8.85546875" style="16"/>
    <col min="15884" max="15884" width="3" style="16" customWidth="1"/>
    <col min="15885" max="15887" width="8.85546875" style="16"/>
    <col min="15888" max="15888" width="7" style="16" customWidth="1"/>
    <col min="15889" max="16128" width="8.85546875" style="16"/>
    <col min="16129" max="16129" width="3" style="16" customWidth="1"/>
    <col min="16130" max="16130" width="4.140625" style="16" customWidth="1"/>
    <col min="16131" max="16131" width="54" style="16" customWidth="1"/>
    <col min="16132" max="16132" width="3.7109375" style="16" customWidth="1"/>
    <col min="16133" max="16133" width="90.28515625" style="16" customWidth="1"/>
    <col min="16134" max="16135" width="8.85546875" style="16"/>
    <col min="16136" max="16136" width="15.42578125" style="16" customWidth="1"/>
    <col min="16137" max="16137" width="5.140625" style="16" customWidth="1"/>
    <col min="16138" max="16139" width="8.85546875" style="16"/>
    <col min="16140" max="16140" width="3" style="16" customWidth="1"/>
    <col min="16141" max="16143" width="8.85546875" style="16"/>
    <col min="16144" max="16144" width="7" style="16" customWidth="1"/>
    <col min="16145" max="16384" width="8.85546875" style="16"/>
  </cols>
  <sheetData>
    <row r="1" ht="30" customHeight="1" x14ac:dyDescent="0.25"/>
    <row r="2" ht="9.9499999999999993" customHeight="1" x14ac:dyDescent="0.25"/>
    <row r="3" ht="25.5" customHeight="1" x14ac:dyDescent="0.25"/>
    <row r="4" ht="21" customHeight="1" x14ac:dyDescent="0.25"/>
    <row r="6" ht="17.100000000000001" customHeight="1" x14ac:dyDescent="0.25"/>
    <row r="7" ht="17.100000000000001" customHeight="1" x14ac:dyDescent="0.25"/>
    <row r="8" ht="17.100000000000001" customHeight="1" x14ac:dyDescent="0.25"/>
    <row r="9" ht="17.100000000000001" customHeight="1" x14ac:dyDescent="0.25"/>
    <row r="10" ht="17.100000000000001" customHeight="1" x14ac:dyDescent="0.25"/>
    <row r="11" ht="17.100000000000001" customHeight="1" x14ac:dyDescent="0.25"/>
    <row r="12" ht="17.100000000000001" customHeight="1" x14ac:dyDescent="0.25"/>
    <row r="13" ht="17.100000000000001" customHeight="1" x14ac:dyDescent="0.25"/>
    <row r="14" ht="17.100000000000001" customHeight="1" x14ac:dyDescent="0.25"/>
    <row r="15" ht="17.100000000000001" customHeight="1" x14ac:dyDescent="0.25"/>
    <row r="16" ht="17.100000000000001" customHeight="1" x14ac:dyDescent="0.25"/>
    <row r="17" ht="17.100000000000001" customHeight="1" x14ac:dyDescent="0.25"/>
    <row r="18" ht="17.100000000000001" customHeight="1" x14ac:dyDescent="0.25"/>
    <row r="19" ht="17.100000000000001" customHeight="1" x14ac:dyDescent="0.25"/>
    <row r="40" spans="2:3" x14ac:dyDescent="0.25">
      <c r="B40" s="17"/>
      <c r="C40" s="17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9EB82-090F-48AA-81F8-7502FB32EE3E}">
  <dimension ref="A1:S278"/>
  <sheetViews>
    <sheetView tabSelected="1" workbookViewId="0">
      <pane xSplit="2" ySplit="1" topLeftCell="C2" activePane="bottomRight" state="frozenSplit"/>
      <selection pane="topRight" activeCell="C1" sqref="C1"/>
      <selection pane="bottomLeft" activeCell="A2" sqref="A2"/>
      <selection pane="bottomRight"/>
    </sheetView>
  </sheetViews>
  <sheetFormatPr defaultRowHeight="15" x14ac:dyDescent="0.25"/>
  <cols>
    <col min="1" max="1" width="3" style="15" customWidth="1"/>
    <col min="2" max="2" width="38" style="15" customWidth="1"/>
    <col min="3" max="4" width="2.28515625" style="15" customWidth="1"/>
    <col min="5" max="5" width="11.85546875" style="15" bestFit="1" customWidth="1"/>
    <col min="6" max="6" width="2.28515625" style="15" customWidth="1"/>
    <col min="7" max="7" width="8.7109375" style="15" bestFit="1" customWidth="1"/>
    <col min="8" max="8" width="2.28515625" style="15" customWidth="1"/>
    <col min="9" max="9" width="9.5703125" style="15" bestFit="1" customWidth="1"/>
    <col min="10" max="10" width="2.28515625" style="15" customWidth="1"/>
    <col min="11" max="11" width="24.42578125" style="15" bestFit="1" customWidth="1"/>
    <col min="12" max="12" width="2.28515625" style="15" customWidth="1"/>
    <col min="13" max="13" width="30.7109375" style="15" customWidth="1"/>
    <col min="14" max="14" width="2.28515625" style="15" customWidth="1"/>
    <col min="15" max="15" width="30.7109375" style="15" customWidth="1"/>
    <col min="16" max="16" width="2.28515625" style="15" customWidth="1"/>
    <col min="17" max="17" width="10.5703125" style="15" bestFit="1" customWidth="1"/>
    <col min="18" max="18" width="2.28515625" style="15" customWidth="1"/>
    <col min="19" max="19" width="10.5703125" style="15" bestFit="1" customWidth="1"/>
  </cols>
  <sheetData>
    <row r="1" spans="1:19" s="14" customFormat="1" ht="15.75" thickBot="1" x14ac:dyDescent="0.3">
      <c r="A1" s="12"/>
      <c r="B1" s="12"/>
      <c r="C1" s="12"/>
      <c r="D1" s="12"/>
      <c r="E1" s="13" t="s">
        <v>0</v>
      </c>
      <c r="F1" s="12"/>
      <c r="G1" s="13" t="s">
        <v>1</v>
      </c>
      <c r="H1" s="12"/>
      <c r="I1" s="13" t="s">
        <v>2</v>
      </c>
      <c r="J1" s="12"/>
      <c r="K1" s="13" t="s">
        <v>3</v>
      </c>
      <c r="L1" s="12"/>
      <c r="M1" s="13" t="s">
        <v>4</v>
      </c>
      <c r="N1" s="12"/>
      <c r="O1" s="13" t="s">
        <v>5</v>
      </c>
      <c r="P1" s="12"/>
      <c r="Q1" s="13" t="s">
        <v>6</v>
      </c>
      <c r="R1" s="12"/>
      <c r="S1" s="13" t="s">
        <v>7</v>
      </c>
    </row>
    <row r="2" spans="1:19" ht="15.75" thickTop="1" x14ac:dyDescent="0.25">
      <c r="A2" s="2"/>
      <c r="B2" s="2" t="s">
        <v>8</v>
      </c>
      <c r="C2" s="2"/>
      <c r="D2" s="2"/>
      <c r="E2" s="2"/>
      <c r="F2" s="2"/>
      <c r="G2" s="4"/>
      <c r="H2" s="2"/>
      <c r="I2" s="2"/>
      <c r="J2" s="2"/>
      <c r="K2" s="2"/>
      <c r="L2" s="2"/>
      <c r="M2" s="2"/>
      <c r="N2" s="2"/>
      <c r="O2" s="2"/>
      <c r="P2" s="2"/>
      <c r="Q2" s="3"/>
      <c r="R2" s="2"/>
      <c r="S2" s="3">
        <v>110659.07</v>
      </c>
    </row>
    <row r="3" spans="1:19" x14ac:dyDescent="0.25">
      <c r="A3" s="5"/>
      <c r="B3" s="5"/>
      <c r="C3" s="5"/>
      <c r="D3" s="5"/>
      <c r="E3" s="5" t="s">
        <v>157</v>
      </c>
      <c r="F3" s="5"/>
      <c r="G3" s="6">
        <v>46027</v>
      </c>
      <c r="H3" s="5"/>
      <c r="I3" s="5" t="s">
        <v>160</v>
      </c>
      <c r="J3" s="5"/>
      <c r="K3" s="5" t="s">
        <v>199</v>
      </c>
      <c r="L3" s="5"/>
      <c r="M3" s="5"/>
      <c r="N3" s="5"/>
      <c r="O3" s="5" t="s">
        <v>124</v>
      </c>
      <c r="P3" s="5"/>
      <c r="Q3" s="7">
        <v>-2149.25</v>
      </c>
      <c r="R3" s="5"/>
      <c r="S3" s="7">
        <f>ROUND(S2+Q3,5)</f>
        <v>108509.82</v>
      </c>
    </row>
    <row r="4" spans="1:19" x14ac:dyDescent="0.25">
      <c r="A4" s="5"/>
      <c r="B4" s="5"/>
      <c r="C4" s="5"/>
      <c r="D4" s="5"/>
      <c r="E4" s="5" t="s">
        <v>157</v>
      </c>
      <c r="F4" s="5"/>
      <c r="G4" s="6">
        <v>46027</v>
      </c>
      <c r="H4" s="5"/>
      <c r="I4" s="5" t="s">
        <v>161</v>
      </c>
      <c r="J4" s="5"/>
      <c r="K4" s="5" t="s">
        <v>200</v>
      </c>
      <c r="L4" s="5"/>
      <c r="M4" s="5"/>
      <c r="N4" s="5"/>
      <c r="O4" s="5" t="s">
        <v>249</v>
      </c>
      <c r="P4" s="5"/>
      <c r="Q4" s="7">
        <v>-125.85</v>
      </c>
      <c r="R4" s="5"/>
      <c r="S4" s="7">
        <f>ROUND(S3+Q4,5)</f>
        <v>108383.97</v>
      </c>
    </row>
    <row r="5" spans="1:19" x14ac:dyDescent="0.25">
      <c r="A5" s="5"/>
      <c r="B5" s="5"/>
      <c r="C5" s="5"/>
      <c r="D5" s="5"/>
      <c r="E5" s="5" t="s">
        <v>157</v>
      </c>
      <c r="F5" s="5"/>
      <c r="G5" s="6">
        <v>46027</v>
      </c>
      <c r="H5" s="5"/>
      <c r="I5" s="5" t="s">
        <v>162</v>
      </c>
      <c r="J5" s="5"/>
      <c r="K5" s="5" t="s">
        <v>201</v>
      </c>
      <c r="L5" s="5"/>
      <c r="M5" s="5"/>
      <c r="N5" s="5"/>
      <c r="O5" s="5" t="s">
        <v>106</v>
      </c>
      <c r="P5" s="5"/>
      <c r="Q5" s="7">
        <v>-52</v>
      </c>
      <c r="R5" s="5"/>
      <c r="S5" s="7">
        <f>ROUND(S4+Q5,5)</f>
        <v>108331.97</v>
      </c>
    </row>
    <row r="6" spans="1:19" x14ac:dyDescent="0.25">
      <c r="A6" s="5"/>
      <c r="B6" s="5"/>
      <c r="C6" s="5"/>
      <c r="D6" s="5"/>
      <c r="E6" s="5" t="s">
        <v>157</v>
      </c>
      <c r="F6" s="5"/>
      <c r="G6" s="6">
        <v>46027</v>
      </c>
      <c r="H6" s="5"/>
      <c r="I6" s="5" t="s">
        <v>163</v>
      </c>
      <c r="J6" s="5"/>
      <c r="K6" s="5" t="s">
        <v>202</v>
      </c>
      <c r="L6" s="5"/>
      <c r="M6" s="5"/>
      <c r="N6" s="5"/>
      <c r="O6" s="5" t="s">
        <v>110</v>
      </c>
      <c r="P6" s="5"/>
      <c r="Q6" s="7">
        <v>-31.2</v>
      </c>
      <c r="R6" s="5"/>
      <c r="S6" s="7">
        <f>ROUND(S5+Q6,5)</f>
        <v>108300.77</v>
      </c>
    </row>
    <row r="7" spans="1:19" x14ac:dyDescent="0.25">
      <c r="A7" s="5"/>
      <c r="B7" s="5"/>
      <c r="C7" s="5"/>
      <c r="D7" s="5"/>
      <c r="E7" s="5" t="s">
        <v>157</v>
      </c>
      <c r="F7" s="5"/>
      <c r="G7" s="6">
        <v>46027</v>
      </c>
      <c r="H7" s="5"/>
      <c r="I7" s="5" t="s">
        <v>164</v>
      </c>
      <c r="J7" s="5"/>
      <c r="K7" s="5" t="s">
        <v>203</v>
      </c>
      <c r="L7" s="5"/>
      <c r="M7" s="5"/>
      <c r="N7" s="5"/>
      <c r="O7" s="5" t="s">
        <v>62</v>
      </c>
      <c r="P7" s="5"/>
      <c r="Q7" s="7">
        <v>-475</v>
      </c>
      <c r="R7" s="5"/>
      <c r="S7" s="7">
        <f>ROUND(S6+Q7,5)</f>
        <v>107825.77</v>
      </c>
    </row>
    <row r="8" spans="1:19" x14ac:dyDescent="0.25">
      <c r="A8" s="5"/>
      <c r="B8" s="5"/>
      <c r="C8" s="5"/>
      <c r="D8" s="5"/>
      <c r="E8" s="5" t="s">
        <v>157</v>
      </c>
      <c r="F8" s="5"/>
      <c r="G8" s="6">
        <v>46027</v>
      </c>
      <c r="H8" s="5"/>
      <c r="I8" s="5" t="s">
        <v>165</v>
      </c>
      <c r="J8" s="5"/>
      <c r="K8" s="5" t="s">
        <v>204</v>
      </c>
      <c r="L8" s="5"/>
      <c r="M8" s="5"/>
      <c r="N8" s="5"/>
      <c r="O8" s="5" t="s">
        <v>62</v>
      </c>
      <c r="P8" s="5"/>
      <c r="Q8" s="7">
        <v>-275</v>
      </c>
      <c r="R8" s="5"/>
      <c r="S8" s="7">
        <f>ROUND(S7+Q8,5)</f>
        <v>107550.77</v>
      </c>
    </row>
    <row r="9" spans="1:19" x14ac:dyDescent="0.25">
      <c r="A9" s="5"/>
      <c r="B9" s="5"/>
      <c r="C9" s="5"/>
      <c r="D9" s="5"/>
      <c r="E9" s="5" t="s">
        <v>157</v>
      </c>
      <c r="F9" s="5"/>
      <c r="G9" s="6">
        <v>46029</v>
      </c>
      <c r="H9" s="5"/>
      <c r="I9" s="5" t="s">
        <v>166</v>
      </c>
      <c r="J9" s="5"/>
      <c r="K9" s="5" t="s">
        <v>205</v>
      </c>
      <c r="L9" s="5"/>
      <c r="M9" s="5"/>
      <c r="N9" s="5"/>
      <c r="O9" s="5" t="s">
        <v>108</v>
      </c>
      <c r="P9" s="5"/>
      <c r="Q9" s="7">
        <v>-350</v>
      </c>
      <c r="R9" s="5"/>
      <c r="S9" s="7">
        <f>ROUND(S8+Q9,5)</f>
        <v>107200.77</v>
      </c>
    </row>
    <row r="10" spans="1:19" x14ac:dyDescent="0.25">
      <c r="A10" s="5"/>
      <c r="B10" s="5"/>
      <c r="C10" s="5"/>
      <c r="D10" s="5"/>
      <c r="E10" s="5" t="s">
        <v>157</v>
      </c>
      <c r="F10" s="5"/>
      <c r="G10" s="6">
        <v>46029</v>
      </c>
      <c r="H10" s="5"/>
      <c r="I10" s="5" t="s">
        <v>167</v>
      </c>
      <c r="J10" s="5"/>
      <c r="K10" s="5" t="s">
        <v>206</v>
      </c>
      <c r="L10" s="5"/>
      <c r="M10" s="5"/>
      <c r="N10" s="5"/>
      <c r="O10" s="5" t="s">
        <v>150</v>
      </c>
      <c r="P10" s="5"/>
      <c r="Q10" s="7">
        <v>-148.59</v>
      </c>
      <c r="R10" s="5"/>
      <c r="S10" s="7">
        <f>ROUND(S9+Q10,5)</f>
        <v>107052.18</v>
      </c>
    </row>
    <row r="11" spans="1:19" x14ac:dyDescent="0.25">
      <c r="A11" s="5"/>
      <c r="B11" s="5"/>
      <c r="C11" s="5"/>
      <c r="D11" s="5"/>
      <c r="E11" s="5" t="s">
        <v>157</v>
      </c>
      <c r="F11" s="5"/>
      <c r="G11" s="6">
        <v>46034</v>
      </c>
      <c r="H11" s="5"/>
      <c r="I11" s="5" t="s">
        <v>168</v>
      </c>
      <c r="J11" s="5"/>
      <c r="K11" s="5" t="s">
        <v>207</v>
      </c>
      <c r="L11" s="5"/>
      <c r="M11" s="5"/>
      <c r="N11" s="5"/>
      <c r="O11" s="5" t="s">
        <v>114</v>
      </c>
      <c r="P11" s="5"/>
      <c r="Q11" s="7">
        <v>-450</v>
      </c>
      <c r="R11" s="5"/>
      <c r="S11" s="7">
        <f>ROUND(S10+Q11,5)</f>
        <v>106602.18</v>
      </c>
    </row>
    <row r="12" spans="1:19" x14ac:dyDescent="0.25">
      <c r="A12" s="5"/>
      <c r="B12" s="5"/>
      <c r="C12" s="5"/>
      <c r="D12" s="5"/>
      <c r="E12" s="5" t="s">
        <v>158</v>
      </c>
      <c r="F12" s="5"/>
      <c r="G12" s="6">
        <v>46034</v>
      </c>
      <c r="H12" s="5"/>
      <c r="I12" s="5"/>
      <c r="J12" s="5"/>
      <c r="K12" s="5"/>
      <c r="L12" s="5"/>
      <c r="M12" s="5" t="s">
        <v>158</v>
      </c>
      <c r="N12" s="5"/>
      <c r="O12" s="5" t="s">
        <v>62</v>
      </c>
      <c r="P12" s="5"/>
      <c r="Q12" s="7">
        <v>7942.73</v>
      </c>
      <c r="R12" s="5"/>
      <c r="S12" s="7">
        <f>ROUND(S11+Q12,5)</f>
        <v>114544.91</v>
      </c>
    </row>
    <row r="13" spans="1:19" x14ac:dyDescent="0.25">
      <c r="A13" s="5"/>
      <c r="B13" s="5"/>
      <c r="C13" s="5"/>
      <c r="D13" s="5"/>
      <c r="E13" s="5" t="s">
        <v>157</v>
      </c>
      <c r="F13" s="5"/>
      <c r="G13" s="6">
        <v>46042</v>
      </c>
      <c r="H13" s="5"/>
      <c r="I13" s="5" t="s">
        <v>169</v>
      </c>
      <c r="J13" s="5"/>
      <c r="K13" s="5" t="s">
        <v>208</v>
      </c>
      <c r="L13" s="5"/>
      <c r="M13" s="5"/>
      <c r="N13" s="5"/>
      <c r="O13" s="5" t="s">
        <v>114</v>
      </c>
      <c r="P13" s="5"/>
      <c r="Q13" s="7">
        <v>-658580.67000000004</v>
      </c>
      <c r="R13" s="5"/>
      <c r="S13" s="7">
        <f>ROUND(S12+Q13,5)</f>
        <v>-544035.76</v>
      </c>
    </row>
    <row r="14" spans="1:19" x14ac:dyDescent="0.25">
      <c r="A14" s="5"/>
      <c r="B14" s="5"/>
      <c r="C14" s="5"/>
      <c r="D14" s="5"/>
      <c r="E14" s="5" t="s">
        <v>157</v>
      </c>
      <c r="F14" s="5"/>
      <c r="G14" s="6">
        <v>46042</v>
      </c>
      <c r="H14" s="5"/>
      <c r="I14" s="5" t="s">
        <v>170</v>
      </c>
      <c r="J14" s="5"/>
      <c r="K14" s="5" t="s">
        <v>207</v>
      </c>
      <c r="L14" s="5"/>
      <c r="M14" s="5"/>
      <c r="N14" s="5"/>
      <c r="O14" s="5" t="s">
        <v>114</v>
      </c>
      <c r="P14" s="5"/>
      <c r="Q14" s="7">
        <v>-49787.3</v>
      </c>
      <c r="R14" s="5"/>
      <c r="S14" s="7">
        <f>ROUND(S13+Q14,5)</f>
        <v>-593823.06000000006</v>
      </c>
    </row>
    <row r="15" spans="1:19" x14ac:dyDescent="0.25">
      <c r="A15" s="5"/>
      <c r="B15" s="5"/>
      <c r="C15" s="5"/>
      <c r="D15" s="5"/>
      <c r="E15" s="5" t="s">
        <v>157</v>
      </c>
      <c r="F15" s="5"/>
      <c r="G15" s="6">
        <v>46042</v>
      </c>
      <c r="H15" s="5"/>
      <c r="I15" s="5" t="s">
        <v>171</v>
      </c>
      <c r="J15" s="5"/>
      <c r="K15" s="5" t="s">
        <v>209</v>
      </c>
      <c r="L15" s="5"/>
      <c r="M15" s="5"/>
      <c r="N15" s="5"/>
      <c r="O15" s="5" t="s">
        <v>114</v>
      </c>
      <c r="P15" s="5"/>
      <c r="Q15" s="7">
        <v>-15000</v>
      </c>
      <c r="R15" s="5"/>
      <c r="S15" s="7">
        <f>ROUND(S14+Q15,5)</f>
        <v>-608823.06000000006</v>
      </c>
    </row>
    <row r="16" spans="1:19" x14ac:dyDescent="0.25">
      <c r="A16" s="5"/>
      <c r="B16" s="5"/>
      <c r="C16" s="5"/>
      <c r="D16" s="5"/>
      <c r="E16" s="5" t="s">
        <v>157</v>
      </c>
      <c r="F16" s="5"/>
      <c r="G16" s="6">
        <v>46042</v>
      </c>
      <c r="H16" s="5"/>
      <c r="I16" s="5" t="s">
        <v>172</v>
      </c>
      <c r="J16" s="5"/>
      <c r="K16" s="5" t="s">
        <v>210</v>
      </c>
      <c r="L16" s="5"/>
      <c r="M16" s="5"/>
      <c r="N16" s="5"/>
      <c r="O16" s="5" t="s">
        <v>114</v>
      </c>
      <c r="P16" s="5"/>
      <c r="Q16" s="7">
        <v>-7769.05</v>
      </c>
      <c r="R16" s="5"/>
      <c r="S16" s="7">
        <f>ROUND(S15+Q16,5)</f>
        <v>-616592.11</v>
      </c>
    </row>
    <row r="17" spans="1:19" x14ac:dyDescent="0.25">
      <c r="A17" s="5"/>
      <c r="B17" s="5"/>
      <c r="C17" s="5"/>
      <c r="D17" s="5"/>
      <c r="E17" s="5" t="s">
        <v>158</v>
      </c>
      <c r="F17" s="5"/>
      <c r="G17" s="6">
        <v>46042</v>
      </c>
      <c r="H17" s="5"/>
      <c r="I17" s="5"/>
      <c r="J17" s="5"/>
      <c r="K17" s="5"/>
      <c r="L17" s="5"/>
      <c r="M17" s="5" t="s">
        <v>158</v>
      </c>
      <c r="N17" s="5"/>
      <c r="O17" s="5" t="s">
        <v>92</v>
      </c>
      <c r="P17" s="5"/>
      <c r="Q17" s="7">
        <v>731137.02</v>
      </c>
      <c r="R17" s="5"/>
      <c r="S17" s="7">
        <f>ROUND(S16+Q17,5)</f>
        <v>114544.91</v>
      </c>
    </row>
    <row r="18" spans="1:19" x14ac:dyDescent="0.25">
      <c r="A18" s="5"/>
      <c r="B18" s="5"/>
      <c r="C18" s="5"/>
      <c r="D18" s="5"/>
      <c r="E18" s="5" t="s">
        <v>159</v>
      </c>
      <c r="F18" s="5"/>
      <c r="G18" s="6">
        <v>46043</v>
      </c>
      <c r="H18" s="5"/>
      <c r="I18" s="5" t="s">
        <v>173</v>
      </c>
      <c r="J18" s="5"/>
      <c r="K18" s="5"/>
      <c r="L18" s="5"/>
      <c r="M18" s="5" t="s">
        <v>213</v>
      </c>
      <c r="N18" s="5"/>
      <c r="O18" s="5" t="s">
        <v>102</v>
      </c>
      <c r="P18" s="5"/>
      <c r="Q18" s="7">
        <v>-15</v>
      </c>
      <c r="R18" s="5"/>
      <c r="S18" s="7">
        <f>ROUND(S17+Q18,5)</f>
        <v>114529.91</v>
      </c>
    </row>
    <row r="19" spans="1:19" x14ac:dyDescent="0.25">
      <c r="A19" s="5"/>
      <c r="B19" s="5"/>
      <c r="C19" s="5"/>
      <c r="D19" s="5"/>
      <c r="E19" s="5" t="s">
        <v>157</v>
      </c>
      <c r="F19" s="5"/>
      <c r="G19" s="6">
        <v>46050</v>
      </c>
      <c r="H19" s="5"/>
      <c r="I19" s="5" t="s">
        <v>174</v>
      </c>
      <c r="J19" s="5"/>
      <c r="K19" s="5" t="s">
        <v>202</v>
      </c>
      <c r="L19" s="5"/>
      <c r="M19" s="5"/>
      <c r="N19" s="5"/>
      <c r="O19" s="5" t="s">
        <v>110</v>
      </c>
      <c r="P19" s="5"/>
      <c r="Q19" s="7">
        <v>-31.2</v>
      </c>
      <c r="R19" s="5"/>
      <c r="S19" s="7">
        <f>ROUND(S18+Q19,5)</f>
        <v>114498.71</v>
      </c>
    </row>
    <row r="20" spans="1:19" x14ac:dyDescent="0.25">
      <c r="A20" s="5"/>
      <c r="B20" s="5"/>
      <c r="C20" s="5"/>
      <c r="D20" s="5"/>
      <c r="E20" s="5" t="s">
        <v>157</v>
      </c>
      <c r="F20" s="5"/>
      <c r="G20" s="6">
        <v>46050</v>
      </c>
      <c r="H20" s="5"/>
      <c r="I20" s="5" t="s">
        <v>175</v>
      </c>
      <c r="J20" s="5"/>
      <c r="K20" s="5" t="s">
        <v>203</v>
      </c>
      <c r="L20" s="5"/>
      <c r="M20" s="5"/>
      <c r="N20" s="5"/>
      <c r="O20" s="5" t="s">
        <v>62</v>
      </c>
      <c r="P20" s="5"/>
      <c r="Q20" s="7">
        <v>-475</v>
      </c>
      <c r="R20" s="5"/>
      <c r="S20" s="7">
        <f>ROUND(S19+Q20,5)</f>
        <v>114023.71</v>
      </c>
    </row>
    <row r="21" spans="1:19" x14ac:dyDescent="0.25">
      <c r="A21" s="5"/>
      <c r="B21" s="5"/>
      <c r="C21" s="5"/>
      <c r="D21" s="5"/>
      <c r="E21" s="5" t="s">
        <v>157</v>
      </c>
      <c r="F21" s="5"/>
      <c r="G21" s="6">
        <v>46050</v>
      </c>
      <c r="H21" s="5"/>
      <c r="I21" s="5" t="s">
        <v>176</v>
      </c>
      <c r="J21" s="5"/>
      <c r="K21" s="5" t="s">
        <v>204</v>
      </c>
      <c r="L21" s="5"/>
      <c r="M21" s="5"/>
      <c r="N21" s="5"/>
      <c r="O21" s="5" t="s">
        <v>62</v>
      </c>
      <c r="P21" s="5"/>
      <c r="Q21" s="7">
        <v>-275</v>
      </c>
      <c r="R21" s="5"/>
      <c r="S21" s="7">
        <f>ROUND(S20+Q21,5)</f>
        <v>113748.71</v>
      </c>
    </row>
    <row r="22" spans="1:19" x14ac:dyDescent="0.25">
      <c r="A22" s="5"/>
      <c r="B22" s="5"/>
      <c r="C22" s="5"/>
      <c r="D22" s="5"/>
      <c r="E22" s="5" t="s">
        <v>158</v>
      </c>
      <c r="F22" s="5"/>
      <c r="G22" s="6">
        <v>46053</v>
      </c>
      <c r="H22" s="5"/>
      <c r="I22" s="5"/>
      <c r="J22" s="5"/>
      <c r="K22" s="5"/>
      <c r="L22" s="5"/>
      <c r="M22" s="5" t="s">
        <v>214</v>
      </c>
      <c r="N22" s="5"/>
      <c r="O22" s="5" t="s">
        <v>84</v>
      </c>
      <c r="P22" s="5"/>
      <c r="Q22" s="7">
        <v>46.25</v>
      </c>
      <c r="R22" s="5"/>
      <c r="S22" s="7">
        <f>ROUND(S21+Q22,5)</f>
        <v>113794.96</v>
      </c>
    </row>
    <row r="23" spans="1:19" x14ac:dyDescent="0.25">
      <c r="A23" s="5"/>
      <c r="B23" s="5"/>
      <c r="C23" s="5"/>
      <c r="D23" s="5"/>
      <c r="E23" s="5" t="s">
        <v>157</v>
      </c>
      <c r="F23" s="5"/>
      <c r="G23" s="6">
        <v>46055</v>
      </c>
      <c r="H23" s="5"/>
      <c r="I23" s="5" t="s">
        <v>177</v>
      </c>
      <c r="J23" s="5"/>
      <c r="K23" s="5" t="s">
        <v>211</v>
      </c>
      <c r="L23" s="5"/>
      <c r="M23" s="5" t="s">
        <v>215</v>
      </c>
      <c r="N23" s="5"/>
      <c r="O23" s="5" t="s">
        <v>138</v>
      </c>
      <c r="P23" s="5"/>
      <c r="Q23" s="7">
        <v>-6.88</v>
      </c>
      <c r="R23" s="5"/>
      <c r="S23" s="7">
        <f>ROUND(S22+Q23,5)</f>
        <v>113788.08</v>
      </c>
    </row>
    <row r="24" spans="1:19" x14ac:dyDescent="0.25">
      <c r="A24" s="5"/>
      <c r="B24" s="5"/>
      <c r="C24" s="5"/>
      <c r="D24" s="5"/>
      <c r="E24" s="5" t="s">
        <v>157</v>
      </c>
      <c r="F24" s="5"/>
      <c r="G24" s="6">
        <v>46057</v>
      </c>
      <c r="H24" s="5"/>
      <c r="I24" s="5" t="s">
        <v>178</v>
      </c>
      <c r="J24" s="5"/>
      <c r="K24" s="5" t="s">
        <v>200</v>
      </c>
      <c r="L24" s="5"/>
      <c r="M24" s="5"/>
      <c r="N24" s="5"/>
      <c r="O24" s="5" t="s">
        <v>249</v>
      </c>
      <c r="P24" s="5"/>
      <c r="Q24" s="7">
        <v>-133.88999999999999</v>
      </c>
      <c r="R24" s="5"/>
      <c r="S24" s="7">
        <f>ROUND(S23+Q24,5)</f>
        <v>113654.19</v>
      </c>
    </row>
    <row r="25" spans="1:19" x14ac:dyDescent="0.25">
      <c r="A25" s="5"/>
      <c r="B25" s="5"/>
      <c r="C25" s="5"/>
      <c r="D25" s="5"/>
      <c r="E25" s="5" t="s">
        <v>158</v>
      </c>
      <c r="F25" s="5"/>
      <c r="G25" s="6">
        <v>46057</v>
      </c>
      <c r="H25" s="5"/>
      <c r="I25" s="5"/>
      <c r="J25" s="5"/>
      <c r="K25" s="5"/>
      <c r="L25" s="5"/>
      <c r="M25" s="5" t="s">
        <v>158</v>
      </c>
      <c r="N25" s="5"/>
      <c r="O25" s="5" t="s">
        <v>62</v>
      </c>
      <c r="P25" s="5"/>
      <c r="Q25" s="7">
        <v>7887</v>
      </c>
      <c r="R25" s="5"/>
      <c r="S25" s="7">
        <f>ROUND(S24+Q25,5)</f>
        <v>121541.19</v>
      </c>
    </row>
    <row r="26" spans="1:19" x14ac:dyDescent="0.25">
      <c r="A26" s="5"/>
      <c r="B26" s="5"/>
      <c r="C26" s="5"/>
      <c r="D26" s="5"/>
      <c r="E26" s="5" t="s">
        <v>157</v>
      </c>
      <c r="F26" s="5"/>
      <c r="G26" s="6">
        <v>46059</v>
      </c>
      <c r="H26" s="5"/>
      <c r="I26" s="5" t="s">
        <v>179</v>
      </c>
      <c r="J26" s="5"/>
      <c r="K26" s="5" t="s">
        <v>206</v>
      </c>
      <c r="L26" s="5"/>
      <c r="M26" s="5"/>
      <c r="N26" s="5"/>
      <c r="O26" s="5" t="s">
        <v>150</v>
      </c>
      <c r="P26" s="5"/>
      <c r="Q26" s="7">
        <v>-81.37</v>
      </c>
      <c r="R26" s="5"/>
      <c r="S26" s="7">
        <f>ROUND(S25+Q26,5)</f>
        <v>121459.82</v>
      </c>
    </row>
    <row r="27" spans="1:19" x14ac:dyDescent="0.25">
      <c r="A27" s="5"/>
      <c r="B27" s="5"/>
      <c r="C27" s="5"/>
      <c r="D27" s="5"/>
      <c r="E27" s="5" t="s">
        <v>159</v>
      </c>
      <c r="F27" s="5"/>
      <c r="G27" s="6">
        <v>46070</v>
      </c>
      <c r="H27" s="5"/>
      <c r="I27" s="5" t="s">
        <v>173</v>
      </c>
      <c r="J27" s="5"/>
      <c r="K27" s="5"/>
      <c r="L27" s="5"/>
      <c r="M27" s="5" t="s">
        <v>216</v>
      </c>
      <c r="N27" s="5"/>
      <c r="O27" s="5" t="s">
        <v>110</v>
      </c>
      <c r="P27" s="5"/>
      <c r="Q27" s="7">
        <v>-18.3</v>
      </c>
      <c r="R27" s="5"/>
      <c r="S27" s="7">
        <f>ROUND(S26+Q27,5)</f>
        <v>121441.52</v>
      </c>
    </row>
    <row r="28" spans="1:19" x14ac:dyDescent="0.25">
      <c r="A28" s="5"/>
      <c r="B28" s="5"/>
      <c r="C28" s="5"/>
      <c r="D28" s="5"/>
      <c r="E28" s="5" t="s">
        <v>157</v>
      </c>
      <c r="F28" s="5"/>
      <c r="G28" s="6">
        <v>46073</v>
      </c>
      <c r="H28" s="5"/>
      <c r="I28" s="5" t="s">
        <v>180</v>
      </c>
      <c r="J28" s="5"/>
      <c r="K28" s="5" t="s">
        <v>210</v>
      </c>
      <c r="L28" s="5"/>
      <c r="M28" s="5"/>
      <c r="N28" s="5"/>
      <c r="O28" s="5" t="s">
        <v>114</v>
      </c>
      <c r="P28" s="5"/>
      <c r="Q28" s="7">
        <v>-4061</v>
      </c>
      <c r="R28" s="5"/>
      <c r="S28" s="7">
        <f>ROUND(S27+Q28,5)</f>
        <v>117380.52</v>
      </c>
    </row>
    <row r="29" spans="1:19" x14ac:dyDescent="0.25">
      <c r="A29" s="5"/>
      <c r="B29" s="5"/>
      <c r="C29" s="5"/>
      <c r="D29" s="5"/>
      <c r="E29" s="5" t="s">
        <v>157</v>
      </c>
      <c r="F29" s="5"/>
      <c r="G29" s="6">
        <v>46079</v>
      </c>
      <c r="H29" s="5"/>
      <c r="I29" s="5" t="s">
        <v>181</v>
      </c>
      <c r="J29" s="5"/>
      <c r="K29" s="5" t="s">
        <v>207</v>
      </c>
      <c r="L29" s="5"/>
      <c r="M29" s="5"/>
      <c r="N29" s="5"/>
      <c r="O29" s="5" t="s">
        <v>114</v>
      </c>
      <c r="P29" s="5"/>
      <c r="Q29" s="7">
        <v>-720</v>
      </c>
      <c r="R29" s="5"/>
      <c r="S29" s="7">
        <f>ROUND(S28+Q29,5)</f>
        <v>116660.52</v>
      </c>
    </row>
    <row r="30" spans="1:19" x14ac:dyDescent="0.25">
      <c r="A30" s="5"/>
      <c r="B30" s="5"/>
      <c r="C30" s="5"/>
      <c r="D30" s="5"/>
      <c r="E30" s="5" t="s">
        <v>157</v>
      </c>
      <c r="F30" s="5"/>
      <c r="G30" s="6">
        <v>46081</v>
      </c>
      <c r="H30" s="5"/>
      <c r="I30" s="5"/>
      <c r="J30" s="5"/>
      <c r="K30" s="5"/>
      <c r="L30" s="5"/>
      <c r="M30" s="5" t="s">
        <v>217</v>
      </c>
      <c r="N30" s="5"/>
      <c r="O30" s="5" t="s">
        <v>102</v>
      </c>
      <c r="P30" s="5"/>
      <c r="Q30" s="7">
        <v>-7.2</v>
      </c>
      <c r="R30" s="5"/>
      <c r="S30" s="7">
        <f>ROUND(S29+Q30,5)</f>
        <v>116653.32</v>
      </c>
    </row>
    <row r="31" spans="1:19" x14ac:dyDescent="0.25">
      <c r="A31" s="5"/>
      <c r="B31" s="5"/>
      <c r="C31" s="5"/>
      <c r="D31" s="5"/>
      <c r="E31" s="5" t="s">
        <v>157</v>
      </c>
      <c r="F31" s="5"/>
      <c r="G31" s="6">
        <v>46081</v>
      </c>
      <c r="H31" s="5"/>
      <c r="I31" s="5"/>
      <c r="J31" s="5"/>
      <c r="K31" s="5"/>
      <c r="L31" s="5"/>
      <c r="M31" s="5" t="s">
        <v>217</v>
      </c>
      <c r="N31" s="5"/>
      <c r="O31" s="5" t="s">
        <v>102</v>
      </c>
      <c r="P31" s="5"/>
      <c r="Q31" s="7">
        <v>-7.2</v>
      </c>
      <c r="R31" s="5"/>
      <c r="S31" s="7">
        <f>ROUND(S30+Q31,5)</f>
        <v>116646.12</v>
      </c>
    </row>
    <row r="32" spans="1:19" x14ac:dyDescent="0.25">
      <c r="A32" s="5"/>
      <c r="B32" s="5"/>
      <c r="C32" s="5"/>
      <c r="D32" s="5"/>
      <c r="E32" s="5" t="s">
        <v>158</v>
      </c>
      <c r="F32" s="5"/>
      <c r="G32" s="6">
        <v>46081</v>
      </c>
      <c r="H32" s="5"/>
      <c r="I32" s="5"/>
      <c r="J32" s="5"/>
      <c r="K32" s="5"/>
      <c r="L32" s="5"/>
      <c r="M32" s="5" t="s">
        <v>214</v>
      </c>
      <c r="N32" s="5"/>
      <c r="O32" s="5" t="s">
        <v>84</v>
      </c>
      <c r="P32" s="5"/>
      <c r="Q32" s="7">
        <v>10.97</v>
      </c>
      <c r="R32" s="5"/>
      <c r="S32" s="7">
        <f>ROUND(S31+Q32,5)</f>
        <v>116657.09</v>
      </c>
    </row>
    <row r="33" spans="1:19" x14ac:dyDescent="0.25">
      <c r="A33" s="5"/>
      <c r="B33" s="5"/>
      <c r="C33" s="5"/>
      <c r="D33" s="5"/>
      <c r="E33" s="5" t="s">
        <v>158</v>
      </c>
      <c r="F33" s="5"/>
      <c r="G33" s="6">
        <v>46083</v>
      </c>
      <c r="H33" s="5"/>
      <c r="I33" s="5"/>
      <c r="J33" s="5"/>
      <c r="K33" s="5"/>
      <c r="L33" s="5"/>
      <c r="M33" s="5" t="s">
        <v>158</v>
      </c>
      <c r="N33" s="5"/>
      <c r="O33" s="5" t="s">
        <v>92</v>
      </c>
      <c r="P33" s="5"/>
      <c r="Q33" s="7">
        <v>507772.03</v>
      </c>
      <c r="R33" s="5"/>
      <c r="S33" s="7">
        <f>ROUND(S32+Q33,5)</f>
        <v>624429.12</v>
      </c>
    </row>
    <row r="34" spans="1:19" x14ac:dyDescent="0.25">
      <c r="A34" s="5"/>
      <c r="B34" s="5"/>
      <c r="C34" s="5"/>
      <c r="D34" s="5"/>
      <c r="E34" s="5" t="s">
        <v>157</v>
      </c>
      <c r="F34" s="5"/>
      <c r="G34" s="6">
        <v>46083</v>
      </c>
      <c r="H34" s="5"/>
      <c r="I34" s="5" t="s">
        <v>182</v>
      </c>
      <c r="J34" s="5"/>
      <c r="K34" s="5" t="s">
        <v>212</v>
      </c>
      <c r="L34" s="5"/>
      <c r="M34" s="5"/>
      <c r="N34" s="5"/>
      <c r="O34" s="5" t="s">
        <v>122</v>
      </c>
      <c r="P34" s="5"/>
      <c r="Q34" s="7">
        <v>-46.45</v>
      </c>
      <c r="R34" s="5"/>
      <c r="S34" s="7">
        <f>ROUND(S33+Q34,5)</f>
        <v>624382.67000000004</v>
      </c>
    </row>
    <row r="35" spans="1:19" x14ac:dyDescent="0.25">
      <c r="A35" s="5"/>
      <c r="B35" s="5"/>
      <c r="C35" s="5"/>
      <c r="D35" s="5"/>
      <c r="E35" s="5" t="s">
        <v>157</v>
      </c>
      <c r="F35" s="5"/>
      <c r="G35" s="6">
        <v>46083</v>
      </c>
      <c r="H35" s="5"/>
      <c r="I35" s="5" t="s">
        <v>183</v>
      </c>
      <c r="J35" s="5"/>
      <c r="K35" s="5" t="s">
        <v>200</v>
      </c>
      <c r="L35" s="5"/>
      <c r="M35" s="5"/>
      <c r="N35" s="5"/>
      <c r="O35" s="5" t="s">
        <v>249</v>
      </c>
      <c r="P35" s="5"/>
      <c r="Q35" s="7">
        <v>-145.47</v>
      </c>
      <c r="R35" s="5"/>
      <c r="S35" s="7">
        <f>ROUND(S34+Q35,5)</f>
        <v>624237.19999999995</v>
      </c>
    </row>
    <row r="36" spans="1:19" x14ac:dyDescent="0.25">
      <c r="A36" s="5"/>
      <c r="B36" s="5"/>
      <c r="C36" s="5"/>
      <c r="D36" s="5"/>
      <c r="E36" s="5" t="s">
        <v>159</v>
      </c>
      <c r="F36" s="5"/>
      <c r="G36" s="6">
        <v>46085</v>
      </c>
      <c r="H36" s="5"/>
      <c r="I36" s="5" t="s">
        <v>173</v>
      </c>
      <c r="J36" s="5"/>
      <c r="K36" s="5"/>
      <c r="L36" s="5"/>
      <c r="M36" s="5" t="s">
        <v>213</v>
      </c>
      <c r="N36" s="5"/>
      <c r="O36" s="5" t="s">
        <v>102</v>
      </c>
      <c r="P36" s="5"/>
      <c r="Q36" s="7">
        <v>-15</v>
      </c>
      <c r="R36" s="5"/>
      <c r="S36" s="7">
        <f>ROUND(S35+Q36,5)</f>
        <v>624222.19999999995</v>
      </c>
    </row>
    <row r="37" spans="1:19" x14ac:dyDescent="0.25">
      <c r="A37" s="5"/>
      <c r="B37" s="5"/>
      <c r="C37" s="5"/>
      <c r="D37" s="5"/>
      <c r="E37" s="5" t="s">
        <v>157</v>
      </c>
      <c r="F37" s="5"/>
      <c r="G37" s="6">
        <v>46087</v>
      </c>
      <c r="H37" s="5"/>
      <c r="I37" s="5" t="s">
        <v>184</v>
      </c>
      <c r="J37" s="5"/>
      <c r="K37" s="5" t="s">
        <v>208</v>
      </c>
      <c r="L37" s="5"/>
      <c r="M37" s="5"/>
      <c r="N37" s="5"/>
      <c r="O37" s="5" t="s">
        <v>114</v>
      </c>
      <c r="P37" s="5"/>
      <c r="Q37" s="7">
        <v>-477266.03</v>
      </c>
      <c r="R37" s="5"/>
      <c r="S37" s="7">
        <f>ROUND(S36+Q37,5)</f>
        <v>146956.17000000001</v>
      </c>
    </row>
    <row r="38" spans="1:19" x14ac:dyDescent="0.25">
      <c r="A38" s="5"/>
      <c r="B38" s="5"/>
      <c r="C38" s="5"/>
      <c r="D38" s="5"/>
      <c r="E38" s="5" t="s">
        <v>157</v>
      </c>
      <c r="F38" s="5"/>
      <c r="G38" s="6">
        <v>46087</v>
      </c>
      <c r="H38" s="5"/>
      <c r="I38" s="5" t="s">
        <v>185</v>
      </c>
      <c r="J38" s="5"/>
      <c r="K38" s="5" t="s">
        <v>207</v>
      </c>
      <c r="L38" s="5"/>
      <c r="M38" s="5"/>
      <c r="N38" s="5"/>
      <c r="O38" s="5" t="s">
        <v>114</v>
      </c>
      <c r="P38" s="5"/>
      <c r="Q38" s="7">
        <v>-26445</v>
      </c>
      <c r="R38" s="5"/>
      <c r="S38" s="7">
        <f>ROUND(S37+Q38,5)</f>
        <v>120511.17</v>
      </c>
    </row>
    <row r="39" spans="1:19" x14ac:dyDescent="0.25">
      <c r="A39" s="5"/>
      <c r="B39" s="5"/>
      <c r="C39" s="5"/>
      <c r="D39" s="5"/>
      <c r="E39" s="5" t="s">
        <v>157</v>
      </c>
      <c r="F39" s="5"/>
      <c r="G39" s="6">
        <v>46087</v>
      </c>
      <c r="H39" s="5"/>
      <c r="I39" s="5" t="s">
        <v>186</v>
      </c>
      <c r="J39" s="5"/>
      <c r="K39" s="5" t="s">
        <v>201</v>
      </c>
      <c r="L39" s="5"/>
      <c r="M39" s="5"/>
      <c r="N39" s="5"/>
      <c r="O39" s="5" t="s">
        <v>106</v>
      </c>
      <c r="P39" s="5"/>
      <c r="Q39" s="7">
        <v>-52</v>
      </c>
      <c r="R39" s="5"/>
      <c r="S39" s="7">
        <f>ROUND(S38+Q39,5)</f>
        <v>120459.17</v>
      </c>
    </row>
    <row r="40" spans="1:19" x14ac:dyDescent="0.25">
      <c r="A40" s="5"/>
      <c r="B40" s="5"/>
      <c r="C40" s="5"/>
      <c r="D40" s="5"/>
      <c r="E40" s="5" t="s">
        <v>157</v>
      </c>
      <c r="F40" s="5"/>
      <c r="G40" s="6">
        <v>46087</v>
      </c>
      <c r="H40" s="5"/>
      <c r="I40" s="5" t="s">
        <v>187</v>
      </c>
      <c r="J40" s="5"/>
      <c r="K40" s="5" t="s">
        <v>202</v>
      </c>
      <c r="L40" s="5"/>
      <c r="M40" s="5"/>
      <c r="N40" s="5"/>
      <c r="O40" s="5" t="s">
        <v>110</v>
      </c>
      <c r="P40" s="5"/>
      <c r="Q40" s="7">
        <v>-31.2</v>
      </c>
      <c r="R40" s="5"/>
      <c r="S40" s="7">
        <f>ROUND(S39+Q40,5)</f>
        <v>120427.97</v>
      </c>
    </row>
    <row r="41" spans="1:19" x14ac:dyDescent="0.25">
      <c r="A41" s="5"/>
      <c r="B41" s="5"/>
      <c r="C41" s="5"/>
      <c r="D41" s="5"/>
      <c r="E41" s="5" t="s">
        <v>157</v>
      </c>
      <c r="F41" s="5"/>
      <c r="G41" s="6">
        <v>46087</v>
      </c>
      <c r="H41" s="5"/>
      <c r="I41" s="5" t="s">
        <v>188</v>
      </c>
      <c r="J41" s="5"/>
      <c r="K41" s="5" t="s">
        <v>203</v>
      </c>
      <c r="L41" s="5"/>
      <c r="M41" s="5"/>
      <c r="N41" s="5"/>
      <c r="O41" s="5" t="s">
        <v>62</v>
      </c>
      <c r="P41" s="5"/>
      <c r="Q41" s="7">
        <v>-475</v>
      </c>
      <c r="R41" s="5"/>
      <c r="S41" s="7">
        <f>ROUND(S40+Q41,5)</f>
        <v>119952.97</v>
      </c>
    </row>
    <row r="42" spans="1:19" x14ac:dyDescent="0.25">
      <c r="A42" s="5"/>
      <c r="B42" s="5"/>
      <c r="C42" s="5"/>
      <c r="D42" s="5"/>
      <c r="E42" s="5" t="s">
        <v>157</v>
      </c>
      <c r="F42" s="5"/>
      <c r="G42" s="6">
        <v>46087</v>
      </c>
      <c r="H42" s="5"/>
      <c r="I42" s="5" t="s">
        <v>189</v>
      </c>
      <c r="J42" s="5"/>
      <c r="K42" s="5" t="s">
        <v>204</v>
      </c>
      <c r="L42" s="5"/>
      <c r="M42" s="5"/>
      <c r="N42" s="5"/>
      <c r="O42" s="5" t="s">
        <v>62</v>
      </c>
      <c r="P42" s="5"/>
      <c r="Q42" s="7">
        <v>-275</v>
      </c>
      <c r="R42" s="5"/>
      <c r="S42" s="7">
        <f>ROUND(S41+Q42,5)</f>
        <v>119677.97</v>
      </c>
    </row>
    <row r="43" spans="1:19" x14ac:dyDescent="0.25">
      <c r="A43" s="5"/>
      <c r="B43" s="5"/>
      <c r="C43" s="5"/>
      <c r="D43" s="5"/>
      <c r="E43" s="5" t="s">
        <v>158</v>
      </c>
      <c r="F43" s="5"/>
      <c r="G43" s="6">
        <v>46087</v>
      </c>
      <c r="H43" s="5"/>
      <c r="I43" s="5"/>
      <c r="J43" s="5"/>
      <c r="K43" s="5"/>
      <c r="L43" s="5"/>
      <c r="M43" s="5" t="s">
        <v>158</v>
      </c>
      <c r="N43" s="5"/>
      <c r="O43" s="5" t="s">
        <v>62</v>
      </c>
      <c r="P43" s="5"/>
      <c r="Q43" s="7">
        <v>7907.27</v>
      </c>
      <c r="R43" s="5"/>
      <c r="S43" s="7">
        <f>ROUND(S42+Q43,5)</f>
        <v>127585.24</v>
      </c>
    </row>
    <row r="44" spans="1:19" x14ac:dyDescent="0.25">
      <c r="A44" s="5"/>
      <c r="B44" s="5"/>
      <c r="C44" s="5"/>
      <c r="D44" s="5"/>
      <c r="E44" s="5" t="s">
        <v>159</v>
      </c>
      <c r="F44" s="5"/>
      <c r="G44" s="6">
        <v>46094</v>
      </c>
      <c r="H44" s="5"/>
      <c r="I44" s="5" t="s">
        <v>173</v>
      </c>
      <c r="J44" s="5"/>
      <c r="K44" s="5"/>
      <c r="L44" s="5"/>
      <c r="M44" s="5" t="s">
        <v>218</v>
      </c>
      <c r="N44" s="5"/>
      <c r="O44" s="5" t="s">
        <v>102</v>
      </c>
      <c r="P44" s="5"/>
      <c r="Q44" s="7">
        <v>7.2</v>
      </c>
      <c r="R44" s="5"/>
      <c r="S44" s="7">
        <f>ROUND(S43+Q44,5)</f>
        <v>127592.44</v>
      </c>
    </row>
    <row r="45" spans="1:19" x14ac:dyDescent="0.25">
      <c r="A45" s="5"/>
      <c r="B45" s="5"/>
      <c r="C45" s="5"/>
      <c r="D45" s="5"/>
      <c r="E45" s="5" t="s">
        <v>159</v>
      </c>
      <c r="F45" s="5"/>
      <c r="G45" s="6">
        <v>46097</v>
      </c>
      <c r="H45" s="5"/>
      <c r="I45" s="5" t="s">
        <v>173</v>
      </c>
      <c r="J45" s="5"/>
      <c r="K45" s="5"/>
      <c r="L45" s="5"/>
      <c r="M45" s="5" t="s">
        <v>216</v>
      </c>
      <c r="N45" s="5"/>
      <c r="O45" s="5" t="s">
        <v>110</v>
      </c>
      <c r="P45" s="5"/>
      <c r="Q45" s="7">
        <v>-18.329999999999998</v>
      </c>
      <c r="R45" s="5"/>
      <c r="S45" s="7">
        <f>ROUND(S44+Q45,5)</f>
        <v>127574.11</v>
      </c>
    </row>
    <row r="46" spans="1:19" x14ac:dyDescent="0.25">
      <c r="A46" s="5"/>
      <c r="B46" s="5"/>
      <c r="C46" s="5"/>
      <c r="D46" s="5"/>
      <c r="E46" s="5" t="s">
        <v>157</v>
      </c>
      <c r="F46" s="5"/>
      <c r="G46" s="6">
        <v>46097</v>
      </c>
      <c r="H46" s="5"/>
      <c r="I46" s="5" t="s">
        <v>190</v>
      </c>
      <c r="J46" s="5"/>
      <c r="K46" s="5" t="s">
        <v>199</v>
      </c>
      <c r="L46" s="5"/>
      <c r="M46" s="5"/>
      <c r="N46" s="5"/>
      <c r="O46" s="5" t="s">
        <v>124</v>
      </c>
      <c r="P46" s="5"/>
      <c r="Q46" s="7">
        <v>-2149.25</v>
      </c>
      <c r="R46" s="5"/>
      <c r="S46" s="7">
        <f>ROUND(S45+Q46,5)</f>
        <v>125424.86</v>
      </c>
    </row>
    <row r="47" spans="1:19" x14ac:dyDescent="0.25">
      <c r="A47" s="5"/>
      <c r="B47" s="5"/>
      <c r="C47" s="5"/>
      <c r="D47" s="5"/>
      <c r="E47" s="5" t="s">
        <v>158</v>
      </c>
      <c r="F47" s="5"/>
      <c r="G47" s="6">
        <v>46100</v>
      </c>
      <c r="H47" s="5"/>
      <c r="I47" s="5"/>
      <c r="J47" s="5"/>
      <c r="K47" s="5"/>
      <c r="L47" s="5"/>
      <c r="M47" s="5" t="s">
        <v>158</v>
      </c>
      <c r="N47" s="5"/>
      <c r="O47" s="5" t="s">
        <v>92</v>
      </c>
      <c r="P47" s="5"/>
      <c r="Q47" s="7">
        <v>681273.03</v>
      </c>
      <c r="R47" s="5"/>
      <c r="S47" s="7">
        <f>ROUND(S46+Q47,5)</f>
        <v>806697.89</v>
      </c>
    </row>
    <row r="48" spans="1:19" x14ac:dyDescent="0.25">
      <c r="A48" s="5"/>
      <c r="B48" s="5"/>
      <c r="C48" s="5"/>
      <c r="D48" s="5"/>
      <c r="E48" s="5" t="s">
        <v>159</v>
      </c>
      <c r="F48" s="5"/>
      <c r="G48" s="6">
        <v>46100</v>
      </c>
      <c r="H48" s="5"/>
      <c r="I48" s="5" t="s">
        <v>173</v>
      </c>
      <c r="J48" s="5"/>
      <c r="K48" s="5"/>
      <c r="L48" s="5"/>
      <c r="M48" s="5" t="s">
        <v>213</v>
      </c>
      <c r="N48" s="5"/>
      <c r="O48" s="5" t="s">
        <v>102</v>
      </c>
      <c r="P48" s="5"/>
      <c r="Q48" s="7">
        <v>-15</v>
      </c>
      <c r="R48" s="5"/>
      <c r="S48" s="7">
        <f>ROUND(S47+Q48,5)</f>
        <v>806682.89</v>
      </c>
    </row>
    <row r="49" spans="1:19" x14ac:dyDescent="0.25">
      <c r="A49" s="5"/>
      <c r="B49" s="5"/>
      <c r="C49" s="5"/>
      <c r="D49" s="5"/>
      <c r="E49" s="5" t="s">
        <v>157</v>
      </c>
      <c r="F49" s="5"/>
      <c r="G49" s="6">
        <v>46100</v>
      </c>
      <c r="H49" s="5"/>
      <c r="I49" s="5" t="s">
        <v>191</v>
      </c>
      <c r="J49" s="5"/>
      <c r="K49" s="5" t="s">
        <v>208</v>
      </c>
      <c r="L49" s="5"/>
      <c r="M49" s="5"/>
      <c r="N49" s="5"/>
      <c r="O49" s="5" t="s">
        <v>114</v>
      </c>
      <c r="P49" s="5"/>
      <c r="Q49" s="7">
        <v>-648363.18000000005</v>
      </c>
      <c r="R49" s="5"/>
      <c r="S49" s="7">
        <f>ROUND(S48+Q49,5)</f>
        <v>158319.71</v>
      </c>
    </row>
    <row r="50" spans="1:19" x14ac:dyDescent="0.25">
      <c r="A50" s="5"/>
      <c r="B50" s="5"/>
      <c r="C50" s="5"/>
      <c r="D50" s="5"/>
      <c r="E50" s="5" t="s">
        <v>157</v>
      </c>
      <c r="F50" s="5"/>
      <c r="G50" s="6">
        <v>46100</v>
      </c>
      <c r="H50" s="5"/>
      <c r="I50" s="5" t="s">
        <v>192</v>
      </c>
      <c r="J50" s="5"/>
      <c r="K50" s="5" t="s">
        <v>207</v>
      </c>
      <c r="L50" s="5"/>
      <c r="M50" s="5"/>
      <c r="N50" s="5"/>
      <c r="O50" s="5" t="s">
        <v>114</v>
      </c>
      <c r="P50" s="5"/>
      <c r="Q50" s="7">
        <v>-27495</v>
      </c>
      <c r="R50" s="5"/>
      <c r="S50" s="7">
        <f>ROUND(S49+Q50,5)</f>
        <v>130824.71</v>
      </c>
    </row>
    <row r="51" spans="1:19" x14ac:dyDescent="0.25">
      <c r="A51" s="5"/>
      <c r="B51" s="5"/>
      <c r="C51" s="5"/>
      <c r="D51" s="5"/>
      <c r="E51" s="5" t="s">
        <v>159</v>
      </c>
      <c r="F51" s="5"/>
      <c r="G51" s="6">
        <v>46100</v>
      </c>
      <c r="H51" s="5"/>
      <c r="I51" s="5" t="s">
        <v>173</v>
      </c>
      <c r="J51" s="5"/>
      <c r="K51" s="5"/>
      <c r="L51" s="5"/>
      <c r="M51" s="5" t="s">
        <v>219</v>
      </c>
      <c r="N51" s="5"/>
      <c r="O51" s="5" t="s">
        <v>114</v>
      </c>
      <c r="P51" s="5"/>
      <c r="Q51" s="7">
        <v>-5414.85</v>
      </c>
      <c r="R51" s="5"/>
      <c r="S51" s="7">
        <f>ROUND(S50+Q51,5)</f>
        <v>125409.86</v>
      </c>
    </row>
    <row r="52" spans="1:19" x14ac:dyDescent="0.25">
      <c r="A52" s="5"/>
      <c r="B52" s="5"/>
      <c r="C52" s="5"/>
      <c r="D52" s="5"/>
      <c r="E52" s="5" t="s">
        <v>157</v>
      </c>
      <c r="F52" s="5"/>
      <c r="G52" s="6">
        <v>46122</v>
      </c>
      <c r="H52" s="5"/>
      <c r="I52" s="5" t="s">
        <v>193</v>
      </c>
      <c r="J52" s="5"/>
      <c r="K52" s="5" t="s">
        <v>201</v>
      </c>
      <c r="L52" s="5"/>
      <c r="M52" s="5"/>
      <c r="N52" s="5"/>
      <c r="O52" s="5" t="s">
        <v>106</v>
      </c>
      <c r="P52" s="5"/>
      <c r="Q52" s="7">
        <v>-52</v>
      </c>
      <c r="R52" s="5"/>
      <c r="S52" s="7">
        <f>ROUND(S51+Q52,5)</f>
        <v>125357.86</v>
      </c>
    </row>
    <row r="53" spans="1:19" x14ac:dyDescent="0.25">
      <c r="A53" s="5"/>
      <c r="B53" s="5"/>
      <c r="C53" s="5"/>
      <c r="D53" s="5"/>
      <c r="E53" s="5" t="s">
        <v>157</v>
      </c>
      <c r="F53" s="5"/>
      <c r="G53" s="6">
        <v>46122</v>
      </c>
      <c r="H53" s="5"/>
      <c r="I53" s="5" t="s">
        <v>194</v>
      </c>
      <c r="J53" s="5"/>
      <c r="K53" s="5" t="s">
        <v>202</v>
      </c>
      <c r="L53" s="5"/>
      <c r="M53" s="5"/>
      <c r="N53" s="5"/>
      <c r="O53" s="5" t="s">
        <v>110</v>
      </c>
      <c r="P53" s="5"/>
      <c r="Q53" s="7">
        <v>-31.2</v>
      </c>
      <c r="R53" s="5"/>
      <c r="S53" s="7">
        <f>ROUND(S52+Q53,5)</f>
        <v>125326.66</v>
      </c>
    </row>
    <row r="54" spans="1:19" x14ac:dyDescent="0.25">
      <c r="A54" s="5"/>
      <c r="B54" s="5"/>
      <c r="C54" s="5"/>
      <c r="D54" s="5"/>
      <c r="E54" s="5" t="s">
        <v>157</v>
      </c>
      <c r="F54" s="5"/>
      <c r="G54" s="6">
        <v>46122</v>
      </c>
      <c r="H54" s="5"/>
      <c r="I54" s="5" t="s">
        <v>195</v>
      </c>
      <c r="J54" s="5"/>
      <c r="K54" s="5" t="s">
        <v>203</v>
      </c>
      <c r="L54" s="5"/>
      <c r="M54" s="5"/>
      <c r="N54" s="5"/>
      <c r="O54" s="5" t="s">
        <v>62</v>
      </c>
      <c r="P54" s="5"/>
      <c r="Q54" s="7">
        <v>-475</v>
      </c>
      <c r="R54" s="5"/>
      <c r="S54" s="7">
        <f>ROUND(S53+Q54,5)</f>
        <v>124851.66</v>
      </c>
    </row>
    <row r="55" spans="1:19" ht="15.75" thickBot="1" x14ac:dyDescent="0.3">
      <c r="A55" s="5"/>
      <c r="B55" s="5"/>
      <c r="C55" s="5"/>
      <c r="D55" s="5"/>
      <c r="E55" s="5" t="s">
        <v>157</v>
      </c>
      <c r="F55" s="5"/>
      <c r="G55" s="6">
        <v>46122</v>
      </c>
      <c r="H55" s="5"/>
      <c r="I55" s="5" t="s">
        <v>196</v>
      </c>
      <c r="J55" s="5"/>
      <c r="K55" s="5" t="s">
        <v>204</v>
      </c>
      <c r="L55" s="5"/>
      <c r="M55" s="5"/>
      <c r="N55" s="5"/>
      <c r="O55" s="5" t="s">
        <v>62</v>
      </c>
      <c r="P55" s="5"/>
      <c r="Q55" s="8">
        <v>-275</v>
      </c>
      <c r="R55" s="5"/>
      <c r="S55" s="8">
        <f>ROUND(S54+Q55,5)</f>
        <v>124576.66</v>
      </c>
    </row>
    <row r="56" spans="1:19" x14ac:dyDescent="0.25">
      <c r="A56" s="5"/>
      <c r="B56" s="5" t="s">
        <v>9</v>
      </c>
      <c r="C56" s="5"/>
      <c r="D56" s="5"/>
      <c r="E56" s="5"/>
      <c r="F56" s="5"/>
      <c r="G56" s="6"/>
      <c r="H56" s="5"/>
      <c r="I56" s="5"/>
      <c r="J56" s="5"/>
      <c r="K56" s="5"/>
      <c r="L56" s="5"/>
      <c r="M56" s="5"/>
      <c r="N56" s="5"/>
      <c r="O56" s="5"/>
      <c r="P56" s="5"/>
      <c r="Q56" s="7">
        <f>ROUND(SUM(Q2:Q55),5)</f>
        <v>13917.59</v>
      </c>
      <c r="R56" s="5"/>
      <c r="S56" s="7">
        <f>S55</f>
        <v>124576.66</v>
      </c>
    </row>
    <row r="57" spans="1:19" x14ac:dyDescent="0.25">
      <c r="A57" s="2"/>
      <c r="B57" s="2" t="s">
        <v>10</v>
      </c>
      <c r="C57" s="2"/>
      <c r="D57" s="2"/>
      <c r="E57" s="2"/>
      <c r="F57" s="2"/>
      <c r="G57" s="4"/>
      <c r="H57" s="2"/>
      <c r="I57" s="2"/>
      <c r="J57" s="2"/>
      <c r="K57" s="2"/>
      <c r="L57" s="2"/>
      <c r="M57" s="2"/>
      <c r="N57" s="2"/>
      <c r="O57" s="2"/>
      <c r="P57" s="2"/>
      <c r="Q57" s="3"/>
      <c r="R57" s="2"/>
      <c r="S57" s="3">
        <v>0</v>
      </c>
    </row>
    <row r="58" spans="1:19" x14ac:dyDescent="0.25">
      <c r="A58" s="5"/>
      <c r="B58" s="5" t="s">
        <v>11</v>
      </c>
      <c r="C58" s="5"/>
      <c r="D58" s="5"/>
      <c r="E58" s="5"/>
      <c r="F58" s="5"/>
      <c r="G58" s="6"/>
      <c r="H58" s="5"/>
      <c r="I58" s="5"/>
      <c r="J58" s="5"/>
      <c r="K58" s="5"/>
      <c r="L58" s="5"/>
      <c r="M58" s="5"/>
      <c r="N58" s="5"/>
      <c r="O58" s="5"/>
      <c r="P58" s="5"/>
      <c r="Q58" s="7"/>
      <c r="R58" s="5"/>
      <c r="S58" s="7">
        <f>S57</f>
        <v>0</v>
      </c>
    </row>
    <row r="59" spans="1:19" x14ac:dyDescent="0.25">
      <c r="A59" s="2"/>
      <c r="B59" s="2" t="s">
        <v>12</v>
      </c>
      <c r="C59" s="2"/>
      <c r="D59" s="2"/>
      <c r="E59" s="2"/>
      <c r="F59" s="2"/>
      <c r="G59" s="4"/>
      <c r="H59" s="2"/>
      <c r="I59" s="2"/>
      <c r="J59" s="2"/>
      <c r="K59" s="2"/>
      <c r="L59" s="2"/>
      <c r="M59" s="2"/>
      <c r="N59" s="2"/>
      <c r="O59" s="2"/>
      <c r="P59" s="2"/>
      <c r="Q59" s="3"/>
      <c r="R59" s="2"/>
      <c r="S59" s="3">
        <v>0</v>
      </c>
    </row>
    <row r="60" spans="1:19" x14ac:dyDescent="0.25">
      <c r="A60" s="5"/>
      <c r="B60" s="5" t="s">
        <v>13</v>
      </c>
      <c r="C60" s="5"/>
      <c r="D60" s="5"/>
      <c r="E60" s="5"/>
      <c r="F60" s="5"/>
      <c r="G60" s="6"/>
      <c r="H60" s="5"/>
      <c r="I60" s="5"/>
      <c r="J60" s="5"/>
      <c r="K60" s="5"/>
      <c r="L60" s="5"/>
      <c r="M60" s="5"/>
      <c r="N60" s="5"/>
      <c r="O60" s="5"/>
      <c r="P60" s="5"/>
      <c r="Q60" s="7"/>
      <c r="R60" s="5"/>
      <c r="S60" s="7">
        <f>S59</f>
        <v>0</v>
      </c>
    </row>
    <row r="61" spans="1:19" x14ac:dyDescent="0.25">
      <c r="A61" s="2"/>
      <c r="B61" s="2" t="s">
        <v>14</v>
      </c>
      <c r="C61" s="2"/>
      <c r="D61" s="2"/>
      <c r="E61" s="2"/>
      <c r="F61" s="2"/>
      <c r="G61" s="4"/>
      <c r="H61" s="2"/>
      <c r="I61" s="2"/>
      <c r="J61" s="2"/>
      <c r="K61" s="2"/>
      <c r="L61" s="2"/>
      <c r="M61" s="2"/>
      <c r="N61" s="2"/>
      <c r="O61" s="2"/>
      <c r="P61" s="2"/>
      <c r="Q61" s="3"/>
      <c r="R61" s="2"/>
      <c r="S61" s="3">
        <v>0</v>
      </c>
    </row>
    <row r="62" spans="1:19" x14ac:dyDescent="0.25">
      <c r="A62" s="5"/>
      <c r="B62" s="5" t="s">
        <v>15</v>
      </c>
      <c r="C62" s="5"/>
      <c r="D62" s="5"/>
      <c r="E62" s="5"/>
      <c r="F62" s="5"/>
      <c r="G62" s="6"/>
      <c r="H62" s="5"/>
      <c r="I62" s="5"/>
      <c r="J62" s="5"/>
      <c r="K62" s="5"/>
      <c r="L62" s="5"/>
      <c r="M62" s="5"/>
      <c r="N62" s="5"/>
      <c r="O62" s="5"/>
      <c r="P62" s="5"/>
      <c r="Q62" s="7"/>
      <c r="R62" s="5"/>
      <c r="S62" s="7">
        <f>S61</f>
        <v>0</v>
      </c>
    </row>
    <row r="63" spans="1:19" x14ac:dyDescent="0.25">
      <c r="A63" s="2"/>
      <c r="B63" s="2" t="s">
        <v>16</v>
      </c>
      <c r="C63" s="2"/>
      <c r="D63" s="2"/>
      <c r="E63" s="2"/>
      <c r="F63" s="2"/>
      <c r="G63" s="4"/>
      <c r="H63" s="2"/>
      <c r="I63" s="2"/>
      <c r="J63" s="2"/>
      <c r="K63" s="2"/>
      <c r="L63" s="2"/>
      <c r="M63" s="2"/>
      <c r="N63" s="2"/>
      <c r="O63" s="2"/>
      <c r="P63" s="2"/>
      <c r="Q63" s="3"/>
      <c r="R63" s="2"/>
      <c r="S63" s="3">
        <v>0</v>
      </c>
    </row>
    <row r="64" spans="1:19" x14ac:dyDescent="0.25">
      <c r="A64" s="5"/>
      <c r="B64" s="5" t="s">
        <v>17</v>
      </c>
      <c r="C64" s="5"/>
      <c r="D64" s="5"/>
      <c r="E64" s="5"/>
      <c r="F64" s="5"/>
      <c r="G64" s="6"/>
      <c r="H64" s="5"/>
      <c r="I64" s="5"/>
      <c r="J64" s="5"/>
      <c r="K64" s="5"/>
      <c r="L64" s="5"/>
      <c r="M64" s="5"/>
      <c r="N64" s="5"/>
      <c r="O64" s="5"/>
      <c r="P64" s="5"/>
      <c r="Q64" s="7"/>
      <c r="R64" s="5"/>
      <c r="S64" s="7">
        <f>S63</f>
        <v>0</v>
      </c>
    </row>
    <row r="65" spans="1:19" x14ac:dyDescent="0.25">
      <c r="A65" s="2"/>
      <c r="B65" s="2" t="s">
        <v>18</v>
      </c>
      <c r="C65" s="2"/>
      <c r="D65" s="2"/>
      <c r="E65" s="2"/>
      <c r="F65" s="2"/>
      <c r="G65" s="4"/>
      <c r="H65" s="2"/>
      <c r="I65" s="2"/>
      <c r="J65" s="2"/>
      <c r="K65" s="2"/>
      <c r="L65" s="2"/>
      <c r="M65" s="2"/>
      <c r="N65" s="2"/>
      <c r="O65" s="2"/>
      <c r="P65" s="2"/>
      <c r="Q65" s="3"/>
      <c r="R65" s="2"/>
      <c r="S65" s="3">
        <v>79017.67</v>
      </c>
    </row>
    <row r="66" spans="1:19" ht="15.75" thickBot="1" x14ac:dyDescent="0.3">
      <c r="A66" s="1"/>
      <c r="B66" s="1"/>
      <c r="C66" s="5"/>
      <c r="D66" s="5"/>
      <c r="E66" s="5" t="s">
        <v>158</v>
      </c>
      <c r="F66" s="5"/>
      <c r="G66" s="6">
        <v>46074</v>
      </c>
      <c r="H66" s="5"/>
      <c r="I66" s="5"/>
      <c r="J66" s="5"/>
      <c r="K66" s="5"/>
      <c r="L66" s="5"/>
      <c r="M66" s="5" t="s">
        <v>214</v>
      </c>
      <c r="N66" s="5"/>
      <c r="O66" s="5" t="s">
        <v>84</v>
      </c>
      <c r="P66" s="5"/>
      <c r="Q66" s="8">
        <v>783.68</v>
      </c>
      <c r="R66" s="5"/>
      <c r="S66" s="8">
        <f>ROUND(S65+Q66,5)</f>
        <v>79801.350000000006</v>
      </c>
    </row>
    <row r="67" spans="1:19" x14ac:dyDescent="0.25">
      <c r="A67" s="5"/>
      <c r="B67" s="5" t="s">
        <v>19</v>
      </c>
      <c r="C67" s="5"/>
      <c r="D67" s="5"/>
      <c r="E67" s="5"/>
      <c r="F67" s="5"/>
      <c r="G67" s="6"/>
      <c r="H67" s="5"/>
      <c r="I67" s="5"/>
      <c r="J67" s="5"/>
      <c r="K67" s="5"/>
      <c r="L67" s="5"/>
      <c r="M67" s="5"/>
      <c r="N67" s="5"/>
      <c r="O67" s="5"/>
      <c r="P67" s="5"/>
      <c r="Q67" s="7">
        <f>ROUND(SUM(Q65:Q66),5)</f>
        <v>783.68</v>
      </c>
      <c r="R67" s="5"/>
      <c r="S67" s="7">
        <f>S66</f>
        <v>79801.350000000006</v>
      </c>
    </row>
    <row r="68" spans="1:19" x14ac:dyDescent="0.25">
      <c r="A68" s="2"/>
      <c r="B68" s="2" t="s">
        <v>20</v>
      </c>
      <c r="C68" s="2"/>
      <c r="D68" s="2"/>
      <c r="E68" s="2"/>
      <c r="F68" s="2"/>
      <c r="G68" s="4"/>
      <c r="H68" s="2"/>
      <c r="I68" s="2"/>
      <c r="J68" s="2"/>
      <c r="K68" s="2"/>
      <c r="L68" s="2"/>
      <c r="M68" s="2"/>
      <c r="N68" s="2"/>
      <c r="O68" s="2"/>
      <c r="P68" s="2"/>
      <c r="Q68" s="3"/>
      <c r="R68" s="2"/>
      <c r="S68" s="3">
        <v>0</v>
      </c>
    </row>
    <row r="69" spans="1:19" x14ac:dyDescent="0.25">
      <c r="A69" s="5"/>
      <c r="B69" s="5" t="s">
        <v>21</v>
      </c>
      <c r="C69" s="5"/>
      <c r="D69" s="5"/>
      <c r="E69" s="5"/>
      <c r="F69" s="5"/>
      <c r="G69" s="6"/>
      <c r="H69" s="5"/>
      <c r="I69" s="5"/>
      <c r="J69" s="5"/>
      <c r="K69" s="5"/>
      <c r="L69" s="5"/>
      <c r="M69" s="5"/>
      <c r="N69" s="5"/>
      <c r="O69" s="5"/>
      <c r="P69" s="5"/>
      <c r="Q69" s="7"/>
      <c r="R69" s="5"/>
      <c r="S69" s="7">
        <f>S68</f>
        <v>0</v>
      </c>
    </row>
    <row r="70" spans="1:19" x14ac:dyDescent="0.25">
      <c r="A70" s="2"/>
      <c r="B70" s="2" t="s">
        <v>22</v>
      </c>
      <c r="C70" s="2"/>
      <c r="D70" s="2"/>
      <c r="E70" s="2"/>
      <c r="F70" s="2"/>
      <c r="G70" s="4"/>
      <c r="H70" s="2"/>
      <c r="I70" s="2"/>
      <c r="J70" s="2"/>
      <c r="K70" s="2"/>
      <c r="L70" s="2"/>
      <c r="M70" s="2"/>
      <c r="N70" s="2"/>
      <c r="O70" s="2"/>
      <c r="P70" s="2"/>
      <c r="Q70" s="3"/>
      <c r="R70" s="2"/>
      <c r="S70" s="3">
        <v>0</v>
      </c>
    </row>
    <row r="71" spans="1:19" x14ac:dyDescent="0.25">
      <c r="A71" s="5"/>
      <c r="B71" s="5" t="s">
        <v>23</v>
      </c>
      <c r="C71" s="5"/>
      <c r="D71" s="5"/>
      <c r="E71" s="5"/>
      <c r="F71" s="5"/>
      <c r="G71" s="6"/>
      <c r="H71" s="5"/>
      <c r="I71" s="5"/>
      <c r="J71" s="5"/>
      <c r="K71" s="5"/>
      <c r="L71" s="5"/>
      <c r="M71" s="5"/>
      <c r="N71" s="5"/>
      <c r="O71" s="5"/>
      <c r="P71" s="5"/>
      <c r="Q71" s="7"/>
      <c r="R71" s="5"/>
      <c r="S71" s="7">
        <f>S70</f>
        <v>0</v>
      </c>
    </row>
    <row r="72" spans="1:19" x14ac:dyDescent="0.25">
      <c r="A72" s="2"/>
      <c r="B72" s="2" t="s">
        <v>24</v>
      </c>
      <c r="C72" s="2"/>
      <c r="D72" s="2"/>
      <c r="E72" s="2"/>
      <c r="F72" s="2"/>
      <c r="G72" s="4"/>
      <c r="H72" s="2"/>
      <c r="I72" s="2"/>
      <c r="J72" s="2"/>
      <c r="K72" s="2"/>
      <c r="L72" s="2"/>
      <c r="M72" s="2"/>
      <c r="N72" s="2"/>
      <c r="O72" s="2"/>
      <c r="P72" s="2"/>
      <c r="Q72" s="3"/>
      <c r="R72" s="2"/>
      <c r="S72" s="3">
        <v>317797</v>
      </c>
    </row>
    <row r="73" spans="1:19" x14ac:dyDescent="0.25">
      <c r="A73" s="5"/>
      <c r="B73" s="5" t="s">
        <v>25</v>
      </c>
      <c r="C73" s="5"/>
      <c r="D73" s="5"/>
      <c r="E73" s="5"/>
      <c r="F73" s="5"/>
      <c r="G73" s="6"/>
      <c r="H73" s="5"/>
      <c r="I73" s="5"/>
      <c r="J73" s="5"/>
      <c r="K73" s="5"/>
      <c r="L73" s="5"/>
      <c r="M73" s="5"/>
      <c r="N73" s="5"/>
      <c r="O73" s="5"/>
      <c r="P73" s="5"/>
      <c r="Q73" s="7"/>
      <c r="R73" s="5"/>
      <c r="S73" s="7">
        <f>S72</f>
        <v>317797</v>
      </c>
    </row>
    <row r="74" spans="1:19" x14ac:dyDescent="0.25">
      <c r="A74" s="2"/>
      <c r="B74" s="2" t="s">
        <v>26</v>
      </c>
      <c r="C74" s="2"/>
      <c r="D74" s="2"/>
      <c r="E74" s="2"/>
      <c r="F74" s="2"/>
      <c r="G74" s="4"/>
      <c r="H74" s="2"/>
      <c r="I74" s="2"/>
      <c r="J74" s="2"/>
      <c r="K74" s="2"/>
      <c r="L74" s="2"/>
      <c r="M74" s="2"/>
      <c r="N74" s="2"/>
      <c r="O74" s="2"/>
      <c r="P74" s="2"/>
      <c r="Q74" s="3"/>
      <c r="R74" s="2"/>
      <c r="S74" s="3">
        <v>0</v>
      </c>
    </row>
    <row r="75" spans="1:19" x14ac:dyDescent="0.25">
      <c r="A75" s="5"/>
      <c r="B75" s="5" t="s">
        <v>27</v>
      </c>
      <c r="C75" s="5"/>
      <c r="D75" s="5"/>
      <c r="E75" s="5"/>
      <c r="F75" s="5"/>
      <c r="G75" s="6"/>
      <c r="H75" s="5"/>
      <c r="I75" s="5"/>
      <c r="J75" s="5"/>
      <c r="K75" s="5"/>
      <c r="L75" s="5"/>
      <c r="M75" s="5"/>
      <c r="N75" s="5"/>
      <c r="O75" s="5"/>
      <c r="P75" s="5"/>
      <c r="Q75" s="7"/>
      <c r="R75" s="5"/>
      <c r="S75" s="7">
        <f>S74</f>
        <v>0</v>
      </c>
    </row>
    <row r="76" spans="1:19" x14ac:dyDescent="0.25">
      <c r="A76" s="2"/>
      <c r="B76" s="2" t="s">
        <v>28</v>
      </c>
      <c r="C76" s="2"/>
      <c r="D76" s="2"/>
      <c r="E76" s="2"/>
      <c r="F76" s="2"/>
      <c r="G76" s="4"/>
      <c r="H76" s="2"/>
      <c r="I76" s="2"/>
      <c r="J76" s="2"/>
      <c r="K76" s="2"/>
      <c r="L76" s="2"/>
      <c r="M76" s="2"/>
      <c r="N76" s="2"/>
      <c r="O76" s="2"/>
      <c r="P76" s="2"/>
      <c r="Q76" s="3"/>
      <c r="R76" s="2"/>
      <c r="S76" s="3">
        <v>0</v>
      </c>
    </row>
    <row r="77" spans="1:19" x14ac:dyDescent="0.25">
      <c r="A77" s="5"/>
      <c r="B77" s="5" t="s">
        <v>29</v>
      </c>
      <c r="C77" s="5"/>
      <c r="D77" s="5"/>
      <c r="E77" s="5"/>
      <c r="F77" s="5"/>
      <c r="G77" s="6"/>
      <c r="H77" s="5"/>
      <c r="I77" s="5"/>
      <c r="J77" s="5"/>
      <c r="K77" s="5"/>
      <c r="L77" s="5"/>
      <c r="M77" s="5"/>
      <c r="N77" s="5"/>
      <c r="O77" s="5"/>
      <c r="P77" s="5"/>
      <c r="Q77" s="7"/>
      <c r="R77" s="5"/>
      <c r="S77" s="7">
        <f>S76</f>
        <v>0</v>
      </c>
    </row>
    <row r="78" spans="1:19" x14ac:dyDescent="0.25">
      <c r="A78" s="2"/>
      <c r="B78" s="2" t="s">
        <v>30</v>
      </c>
      <c r="C78" s="2"/>
      <c r="D78" s="2"/>
      <c r="E78" s="2"/>
      <c r="F78" s="2"/>
      <c r="G78" s="4"/>
      <c r="H78" s="2"/>
      <c r="I78" s="2"/>
      <c r="J78" s="2"/>
      <c r="K78" s="2"/>
      <c r="L78" s="2"/>
      <c r="M78" s="2"/>
      <c r="N78" s="2"/>
      <c r="O78" s="2"/>
      <c r="P78" s="2"/>
      <c r="Q78" s="3"/>
      <c r="R78" s="2"/>
      <c r="S78" s="3">
        <v>0</v>
      </c>
    </row>
    <row r="79" spans="1:19" x14ac:dyDescent="0.25">
      <c r="A79" s="5"/>
      <c r="B79" s="5" t="s">
        <v>31</v>
      </c>
      <c r="C79" s="5"/>
      <c r="D79" s="5"/>
      <c r="E79" s="5"/>
      <c r="F79" s="5"/>
      <c r="G79" s="6"/>
      <c r="H79" s="5"/>
      <c r="I79" s="5"/>
      <c r="J79" s="5"/>
      <c r="K79" s="5"/>
      <c r="L79" s="5"/>
      <c r="M79" s="5"/>
      <c r="N79" s="5"/>
      <c r="O79" s="5"/>
      <c r="P79" s="5"/>
      <c r="Q79" s="7"/>
      <c r="R79" s="5"/>
      <c r="S79" s="7">
        <f>S78</f>
        <v>0</v>
      </c>
    </row>
    <row r="80" spans="1:19" x14ac:dyDescent="0.25">
      <c r="A80" s="2"/>
      <c r="B80" s="2" t="s">
        <v>32</v>
      </c>
      <c r="C80" s="2"/>
      <c r="D80" s="2"/>
      <c r="E80" s="2"/>
      <c r="F80" s="2"/>
      <c r="G80" s="4"/>
      <c r="H80" s="2"/>
      <c r="I80" s="2"/>
      <c r="J80" s="2"/>
      <c r="K80" s="2"/>
      <c r="L80" s="2"/>
      <c r="M80" s="2"/>
      <c r="N80" s="2"/>
      <c r="O80" s="2"/>
      <c r="P80" s="2"/>
      <c r="Q80" s="3"/>
      <c r="R80" s="2"/>
      <c r="S80" s="3">
        <v>0</v>
      </c>
    </row>
    <row r="81" spans="1:19" x14ac:dyDescent="0.25">
      <c r="A81" s="5"/>
      <c r="B81" s="5" t="s">
        <v>33</v>
      </c>
      <c r="C81" s="5"/>
      <c r="D81" s="5"/>
      <c r="E81" s="5"/>
      <c r="F81" s="5"/>
      <c r="G81" s="6"/>
      <c r="H81" s="5"/>
      <c r="I81" s="5"/>
      <c r="J81" s="5"/>
      <c r="K81" s="5"/>
      <c r="L81" s="5"/>
      <c r="M81" s="5"/>
      <c r="N81" s="5"/>
      <c r="O81" s="5"/>
      <c r="P81" s="5"/>
      <c r="Q81" s="7"/>
      <c r="R81" s="5"/>
      <c r="S81" s="7">
        <f>S80</f>
        <v>0</v>
      </c>
    </row>
    <row r="82" spans="1:19" x14ac:dyDescent="0.25">
      <c r="A82" s="2"/>
      <c r="B82" s="2" t="s">
        <v>34</v>
      </c>
      <c r="C82" s="2"/>
      <c r="D82" s="2"/>
      <c r="E82" s="2"/>
      <c r="F82" s="2"/>
      <c r="G82" s="4"/>
      <c r="H82" s="2"/>
      <c r="I82" s="2"/>
      <c r="J82" s="2"/>
      <c r="K82" s="2"/>
      <c r="L82" s="2"/>
      <c r="M82" s="2"/>
      <c r="N82" s="2"/>
      <c r="O82" s="2"/>
      <c r="P82" s="2"/>
      <c r="Q82" s="3"/>
      <c r="R82" s="2"/>
      <c r="S82" s="3">
        <v>31824</v>
      </c>
    </row>
    <row r="83" spans="1:19" x14ac:dyDescent="0.25">
      <c r="A83" s="5"/>
      <c r="B83" s="5" t="s">
        <v>35</v>
      </c>
      <c r="C83" s="5"/>
      <c r="D83" s="5"/>
      <c r="E83" s="5"/>
      <c r="F83" s="5"/>
      <c r="G83" s="6"/>
      <c r="H83" s="5"/>
      <c r="I83" s="5"/>
      <c r="J83" s="5"/>
      <c r="K83" s="5"/>
      <c r="L83" s="5"/>
      <c r="M83" s="5"/>
      <c r="N83" s="5"/>
      <c r="O83" s="5"/>
      <c r="P83" s="5"/>
      <c r="Q83" s="7"/>
      <c r="R83" s="5"/>
      <c r="S83" s="7">
        <f>S82</f>
        <v>31824</v>
      </c>
    </row>
    <row r="84" spans="1:19" x14ac:dyDescent="0.25">
      <c r="A84" s="2"/>
      <c r="B84" s="2" t="s">
        <v>36</v>
      </c>
      <c r="C84" s="2"/>
      <c r="D84" s="2"/>
      <c r="E84" s="2"/>
      <c r="F84" s="2"/>
      <c r="G84" s="4"/>
      <c r="H84" s="2"/>
      <c r="I84" s="2"/>
      <c r="J84" s="2"/>
      <c r="K84" s="2"/>
      <c r="L84" s="2"/>
      <c r="M84" s="2"/>
      <c r="N84" s="2"/>
      <c r="O84" s="2"/>
      <c r="P84" s="2"/>
      <c r="Q84" s="3"/>
      <c r="R84" s="2"/>
      <c r="S84" s="3">
        <v>114921.44</v>
      </c>
    </row>
    <row r="85" spans="1:19" x14ac:dyDescent="0.25">
      <c r="A85" s="5"/>
      <c r="B85" s="5" t="s">
        <v>37</v>
      </c>
      <c r="C85" s="5"/>
      <c r="D85" s="5"/>
      <c r="E85" s="5"/>
      <c r="F85" s="5"/>
      <c r="G85" s="6"/>
      <c r="H85" s="5"/>
      <c r="I85" s="5"/>
      <c r="J85" s="5"/>
      <c r="K85" s="5"/>
      <c r="L85" s="5"/>
      <c r="M85" s="5"/>
      <c r="N85" s="5"/>
      <c r="O85" s="5"/>
      <c r="P85" s="5"/>
      <c r="Q85" s="7"/>
      <c r="R85" s="5"/>
      <c r="S85" s="7">
        <f>S84</f>
        <v>114921.44</v>
      </c>
    </row>
    <row r="86" spans="1:19" x14ac:dyDescent="0.25">
      <c r="A86" s="2"/>
      <c r="B86" s="2" t="s">
        <v>38</v>
      </c>
      <c r="C86" s="2"/>
      <c r="D86" s="2"/>
      <c r="E86" s="2"/>
      <c r="F86" s="2"/>
      <c r="G86" s="4"/>
      <c r="H86" s="2"/>
      <c r="I86" s="2"/>
      <c r="J86" s="2"/>
      <c r="K86" s="2"/>
      <c r="L86" s="2"/>
      <c r="M86" s="2"/>
      <c r="N86" s="2"/>
      <c r="O86" s="2"/>
      <c r="P86" s="2"/>
      <c r="Q86" s="3"/>
      <c r="R86" s="2"/>
      <c r="S86" s="3">
        <v>26781.62</v>
      </c>
    </row>
    <row r="87" spans="1:19" x14ac:dyDescent="0.25">
      <c r="A87" s="5"/>
      <c r="B87" s="5" t="s">
        <v>39</v>
      </c>
      <c r="C87" s="5"/>
      <c r="D87" s="5"/>
      <c r="E87" s="5"/>
      <c r="F87" s="5"/>
      <c r="G87" s="6"/>
      <c r="H87" s="5"/>
      <c r="I87" s="5"/>
      <c r="J87" s="5"/>
      <c r="K87" s="5"/>
      <c r="L87" s="5"/>
      <c r="M87" s="5"/>
      <c r="N87" s="5"/>
      <c r="O87" s="5"/>
      <c r="P87" s="5"/>
      <c r="Q87" s="7"/>
      <c r="R87" s="5"/>
      <c r="S87" s="7">
        <f>S86</f>
        <v>26781.62</v>
      </c>
    </row>
    <row r="88" spans="1:19" x14ac:dyDescent="0.25">
      <c r="A88" s="2"/>
      <c r="B88" s="2" t="s">
        <v>40</v>
      </c>
      <c r="C88" s="2"/>
      <c r="D88" s="2"/>
      <c r="E88" s="2"/>
      <c r="F88" s="2"/>
      <c r="G88" s="4"/>
      <c r="H88" s="2"/>
      <c r="I88" s="2"/>
      <c r="J88" s="2"/>
      <c r="K88" s="2"/>
      <c r="L88" s="2"/>
      <c r="M88" s="2"/>
      <c r="N88" s="2"/>
      <c r="O88" s="2"/>
      <c r="P88" s="2"/>
      <c r="Q88" s="3"/>
      <c r="R88" s="2"/>
      <c r="S88" s="3">
        <v>1994.58</v>
      </c>
    </row>
    <row r="89" spans="1:19" x14ac:dyDescent="0.25">
      <c r="A89" s="5"/>
      <c r="B89" s="5" t="s">
        <v>41</v>
      </c>
      <c r="C89" s="5"/>
      <c r="D89" s="5"/>
      <c r="E89" s="5"/>
      <c r="F89" s="5"/>
      <c r="G89" s="6"/>
      <c r="H89" s="5"/>
      <c r="I89" s="5"/>
      <c r="J89" s="5"/>
      <c r="K89" s="5"/>
      <c r="L89" s="5"/>
      <c r="M89" s="5"/>
      <c r="N89" s="5"/>
      <c r="O89" s="5"/>
      <c r="P89" s="5"/>
      <c r="Q89" s="7"/>
      <c r="R89" s="5"/>
      <c r="S89" s="7">
        <f>S88</f>
        <v>1994.58</v>
      </c>
    </row>
    <row r="90" spans="1:19" x14ac:dyDescent="0.25">
      <c r="A90" s="2"/>
      <c r="B90" s="2" t="s">
        <v>42</v>
      </c>
      <c r="C90" s="2"/>
      <c r="D90" s="2"/>
      <c r="E90" s="2"/>
      <c r="F90" s="2"/>
      <c r="G90" s="4"/>
      <c r="H90" s="2"/>
      <c r="I90" s="2"/>
      <c r="J90" s="2"/>
      <c r="K90" s="2"/>
      <c r="L90" s="2"/>
      <c r="M90" s="2"/>
      <c r="N90" s="2"/>
      <c r="O90" s="2"/>
      <c r="P90" s="2"/>
      <c r="Q90" s="3"/>
      <c r="R90" s="2"/>
      <c r="S90" s="3">
        <v>-139977.07999999999</v>
      </c>
    </row>
    <row r="91" spans="1:19" x14ac:dyDescent="0.25">
      <c r="A91" s="5"/>
      <c r="B91" s="5" t="s">
        <v>43</v>
      </c>
      <c r="C91" s="5"/>
      <c r="D91" s="5"/>
      <c r="E91" s="5"/>
      <c r="F91" s="5"/>
      <c r="G91" s="6"/>
      <c r="H91" s="5"/>
      <c r="I91" s="5"/>
      <c r="J91" s="5"/>
      <c r="K91" s="5"/>
      <c r="L91" s="5"/>
      <c r="M91" s="5"/>
      <c r="N91" s="5"/>
      <c r="O91" s="5"/>
      <c r="P91" s="5"/>
      <c r="Q91" s="7"/>
      <c r="R91" s="5"/>
      <c r="S91" s="7">
        <f>S90</f>
        <v>-139977.07999999999</v>
      </c>
    </row>
    <row r="92" spans="1:19" x14ac:dyDescent="0.25">
      <c r="A92" s="2"/>
      <c r="B92" s="2" t="s">
        <v>44</v>
      </c>
      <c r="C92" s="2"/>
      <c r="D92" s="2"/>
      <c r="E92" s="2"/>
      <c r="F92" s="2"/>
      <c r="G92" s="4"/>
      <c r="H92" s="2"/>
      <c r="I92" s="2"/>
      <c r="J92" s="2"/>
      <c r="K92" s="2"/>
      <c r="L92" s="2"/>
      <c r="M92" s="2"/>
      <c r="N92" s="2"/>
      <c r="O92" s="2"/>
      <c r="P92" s="2"/>
      <c r="Q92" s="3"/>
      <c r="R92" s="2"/>
      <c r="S92" s="3">
        <v>1679.15</v>
      </c>
    </row>
    <row r="93" spans="1:19" x14ac:dyDescent="0.25">
      <c r="A93" s="5"/>
      <c r="B93" s="5" t="s">
        <v>45</v>
      </c>
      <c r="C93" s="5"/>
      <c r="D93" s="5"/>
      <c r="E93" s="5"/>
      <c r="F93" s="5"/>
      <c r="G93" s="6"/>
      <c r="H93" s="5"/>
      <c r="I93" s="5"/>
      <c r="J93" s="5"/>
      <c r="K93" s="5"/>
      <c r="L93" s="5"/>
      <c r="M93" s="5"/>
      <c r="N93" s="5"/>
      <c r="O93" s="5"/>
      <c r="P93" s="5"/>
      <c r="Q93" s="7"/>
      <c r="R93" s="5"/>
      <c r="S93" s="7">
        <f>S92</f>
        <v>1679.15</v>
      </c>
    </row>
    <row r="94" spans="1:19" x14ac:dyDescent="0.25">
      <c r="A94" s="2"/>
      <c r="B94" s="2" t="s">
        <v>46</v>
      </c>
      <c r="C94" s="2"/>
      <c r="D94" s="2"/>
      <c r="E94" s="2"/>
      <c r="F94" s="2"/>
      <c r="G94" s="4"/>
      <c r="H94" s="2"/>
      <c r="I94" s="2"/>
      <c r="J94" s="2"/>
      <c r="K94" s="2"/>
      <c r="L94" s="2"/>
      <c r="M94" s="2"/>
      <c r="N94" s="2"/>
      <c r="O94" s="2"/>
      <c r="P94" s="2"/>
      <c r="Q94" s="3"/>
      <c r="R94" s="2"/>
      <c r="S94" s="3">
        <v>0</v>
      </c>
    </row>
    <row r="95" spans="1:19" x14ac:dyDescent="0.25">
      <c r="A95" s="5"/>
      <c r="B95" s="5" t="s">
        <v>47</v>
      </c>
      <c r="C95" s="5"/>
      <c r="D95" s="5"/>
      <c r="E95" s="5"/>
      <c r="F95" s="5"/>
      <c r="G95" s="6"/>
      <c r="H95" s="5"/>
      <c r="I95" s="5"/>
      <c r="J95" s="5"/>
      <c r="K95" s="5"/>
      <c r="L95" s="5"/>
      <c r="M95" s="5"/>
      <c r="N95" s="5"/>
      <c r="O95" s="5"/>
      <c r="P95" s="5"/>
      <c r="Q95" s="7"/>
      <c r="R95" s="5"/>
      <c r="S95" s="7">
        <f>S94</f>
        <v>0</v>
      </c>
    </row>
    <row r="96" spans="1:19" x14ac:dyDescent="0.25">
      <c r="A96" s="2"/>
      <c r="B96" s="2" t="s">
        <v>48</v>
      </c>
      <c r="C96" s="2"/>
      <c r="D96" s="2"/>
      <c r="E96" s="2"/>
      <c r="F96" s="2"/>
      <c r="G96" s="4"/>
      <c r="H96" s="2"/>
      <c r="I96" s="2"/>
      <c r="J96" s="2"/>
      <c r="K96" s="2"/>
      <c r="L96" s="2"/>
      <c r="M96" s="2"/>
      <c r="N96" s="2"/>
      <c r="O96" s="2"/>
      <c r="P96" s="2"/>
      <c r="Q96" s="3"/>
      <c r="R96" s="2"/>
      <c r="S96" s="3">
        <v>-511.51</v>
      </c>
    </row>
    <row r="97" spans="1:19" x14ac:dyDescent="0.25">
      <c r="A97" s="5"/>
      <c r="B97" s="5" t="s">
        <v>49</v>
      </c>
      <c r="C97" s="5"/>
      <c r="D97" s="5"/>
      <c r="E97" s="5"/>
      <c r="F97" s="5"/>
      <c r="G97" s="6"/>
      <c r="H97" s="5"/>
      <c r="I97" s="5"/>
      <c r="J97" s="5"/>
      <c r="K97" s="5"/>
      <c r="L97" s="5"/>
      <c r="M97" s="5"/>
      <c r="N97" s="5"/>
      <c r="O97" s="5"/>
      <c r="P97" s="5"/>
      <c r="Q97" s="7"/>
      <c r="R97" s="5"/>
      <c r="S97" s="7">
        <f>S96</f>
        <v>-511.51</v>
      </c>
    </row>
    <row r="98" spans="1:19" x14ac:dyDescent="0.25">
      <c r="A98" s="2"/>
      <c r="B98" s="2" t="s">
        <v>50</v>
      </c>
      <c r="C98" s="2"/>
      <c r="D98" s="2"/>
      <c r="E98" s="2"/>
      <c r="F98" s="2"/>
      <c r="G98" s="4"/>
      <c r="H98" s="2"/>
      <c r="I98" s="2"/>
      <c r="J98" s="2"/>
      <c r="K98" s="2"/>
      <c r="L98" s="2"/>
      <c r="M98" s="2"/>
      <c r="N98" s="2"/>
      <c r="O98" s="2"/>
      <c r="P98" s="2"/>
      <c r="Q98" s="3"/>
      <c r="R98" s="2"/>
      <c r="S98" s="3">
        <v>0</v>
      </c>
    </row>
    <row r="99" spans="1:19" x14ac:dyDescent="0.25">
      <c r="A99" s="5"/>
      <c r="B99" s="5" t="s">
        <v>51</v>
      </c>
      <c r="C99" s="5"/>
      <c r="D99" s="5"/>
      <c r="E99" s="5"/>
      <c r="F99" s="5"/>
      <c r="G99" s="6"/>
      <c r="H99" s="5"/>
      <c r="I99" s="5"/>
      <c r="J99" s="5"/>
      <c r="K99" s="5"/>
      <c r="L99" s="5"/>
      <c r="M99" s="5"/>
      <c r="N99" s="5"/>
      <c r="O99" s="5"/>
      <c r="P99" s="5"/>
      <c r="Q99" s="7"/>
      <c r="R99" s="5"/>
      <c r="S99" s="7">
        <f>S98</f>
        <v>0</v>
      </c>
    </row>
    <row r="100" spans="1:19" x14ac:dyDescent="0.25">
      <c r="A100" s="2"/>
      <c r="B100" s="2" t="s">
        <v>52</v>
      </c>
      <c r="C100" s="2"/>
      <c r="D100" s="2"/>
      <c r="E100" s="2"/>
      <c r="F100" s="2"/>
      <c r="G100" s="4"/>
      <c r="H100" s="2"/>
      <c r="I100" s="2"/>
      <c r="J100" s="2"/>
      <c r="K100" s="2"/>
      <c r="L100" s="2"/>
      <c r="M100" s="2"/>
      <c r="N100" s="2"/>
      <c r="O100" s="2"/>
      <c r="P100" s="2"/>
      <c r="Q100" s="3"/>
      <c r="R100" s="2"/>
      <c r="S100" s="3">
        <v>0</v>
      </c>
    </row>
    <row r="101" spans="1:19" x14ac:dyDescent="0.25">
      <c r="A101" s="5"/>
      <c r="B101" s="5" t="s">
        <v>53</v>
      </c>
      <c r="C101" s="5"/>
      <c r="D101" s="5"/>
      <c r="E101" s="5"/>
      <c r="F101" s="5"/>
      <c r="G101" s="6"/>
      <c r="H101" s="5"/>
      <c r="I101" s="5"/>
      <c r="J101" s="5"/>
      <c r="K101" s="5"/>
      <c r="L101" s="5"/>
      <c r="M101" s="5"/>
      <c r="N101" s="5"/>
      <c r="O101" s="5"/>
      <c r="P101" s="5"/>
      <c r="Q101" s="7"/>
      <c r="R101" s="5"/>
      <c r="S101" s="7">
        <f>S100</f>
        <v>0</v>
      </c>
    </row>
    <row r="102" spans="1:19" x14ac:dyDescent="0.25">
      <c r="A102" s="2"/>
      <c r="B102" s="2" t="s">
        <v>54</v>
      </c>
      <c r="C102" s="2"/>
      <c r="D102" s="2"/>
      <c r="E102" s="2"/>
      <c r="F102" s="2"/>
      <c r="G102" s="4"/>
      <c r="H102" s="2"/>
      <c r="I102" s="2"/>
      <c r="J102" s="2"/>
      <c r="K102" s="2"/>
      <c r="L102" s="2"/>
      <c r="M102" s="2"/>
      <c r="N102" s="2"/>
      <c r="O102" s="2"/>
      <c r="P102" s="2"/>
      <c r="Q102" s="3"/>
      <c r="R102" s="2"/>
      <c r="S102" s="3">
        <v>-91220.21</v>
      </c>
    </row>
    <row r="103" spans="1:19" x14ac:dyDescent="0.25">
      <c r="A103" s="5"/>
      <c r="B103" s="5" t="s">
        <v>55</v>
      </c>
      <c r="C103" s="5"/>
      <c r="D103" s="5"/>
      <c r="E103" s="5"/>
      <c r="F103" s="5"/>
      <c r="G103" s="6"/>
      <c r="H103" s="5"/>
      <c r="I103" s="5"/>
      <c r="J103" s="5"/>
      <c r="K103" s="5"/>
      <c r="L103" s="5"/>
      <c r="M103" s="5"/>
      <c r="N103" s="5"/>
      <c r="O103" s="5"/>
      <c r="P103" s="5"/>
      <c r="Q103" s="7"/>
      <c r="R103" s="5"/>
      <c r="S103" s="7">
        <f>S102</f>
        <v>-91220.21</v>
      </c>
    </row>
    <row r="104" spans="1:19" x14ac:dyDescent="0.25">
      <c r="A104" s="2"/>
      <c r="B104" s="2" t="s">
        <v>56</v>
      </c>
      <c r="C104" s="2"/>
      <c r="D104" s="2"/>
      <c r="E104" s="2"/>
      <c r="F104" s="2"/>
      <c r="G104" s="4"/>
      <c r="H104" s="2"/>
      <c r="I104" s="2"/>
      <c r="J104" s="2"/>
      <c r="K104" s="2"/>
      <c r="L104" s="2"/>
      <c r="M104" s="2"/>
      <c r="N104" s="2"/>
      <c r="O104" s="2"/>
      <c r="P104" s="2"/>
      <c r="Q104" s="3"/>
      <c r="R104" s="2"/>
      <c r="S104" s="3">
        <v>0</v>
      </c>
    </row>
    <row r="105" spans="1:19" x14ac:dyDescent="0.25">
      <c r="A105" s="5"/>
      <c r="B105" s="5" t="s">
        <v>57</v>
      </c>
      <c r="C105" s="5"/>
      <c r="D105" s="5"/>
      <c r="E105" s="5"/>
      <c r="F105" s="5"/>
      <c r="G105" s="6"/>
      <c r="H105" s="5"/>
      <c r="I105" s="5"/>
      <c r="J105" s="5"/>
      <c r="K105" s="5"/>
      <c r="L105" s="5"/>
      <c r="M105" s="5"/>
      <c r="N105" s="5"/>
      <c r="O105" s="5"/>
      <c r="P105" s="5"/>
      <c r="Q105" s="7"/>
      <c r="R105" s="5"/>
      <c r="S105" s="7">
        <f>S104</f>
        <v>0</v>
      </c>
    </row>
    <row r="106" spans="1:19" x14ac:dyDescent="0.25">
      <c r="A106" s="2"/>
      <c r="B106" s="2" t="s">
        <v>58</v>
      </c>
      <c r="C106" s="2"/>
      <c r="D106" s="2"/>
      <c r="E106" s="2"/>
      <c r="F106" s="2"/>
      <c r="G106" s="4"/>
      <c r="H106" s="2"/>
      <c r="I106" s="2"/>
      <c r="J106" s="2"/>
      <c r="K106" s="2"/>
      <c r="L106" s="2"/>
      <c r="M106" s="2"/>
      <c r="N106" s="2"/>
      <c r="O106" s="2"/>
      <c r="P106" s="2"/>
      <c r="Q106" s="3"/>
      <c r="R106" s="2"/>
      <c r="S106" s="3">
        <v>0</v>
      </c>
    </row>
    <row r="107" spans="1:19" x14ac:dyDescent="0.25">
      <c r="A107" s="5"/>
      <c r="B107" s="5" t="s">
        <v>59</v>
      </c>
      <c r="C107" s="5"/>
      <c r="D107" s="5"/>
      <c r="E107" s="5"/>
      <c r="F107" s="5"/>
      <c r="G107" s="6"/>
      <c r="H107" s="5"/>
      <c r="I107" s="5"/>
      <c r="J107" s="5"/>
      <c r="K107" s="5"/>
      <c r="L107" s="5"/>
      <c r="M107" s="5"/>
      <c r="N107" s="5"/>
      <c r="O107" s="5"/>
      <c r="P107" s="5"/>
      <c r="Q107" s="7"/>
      <c r="R107" s="5"/>
      <c r="S107" s="7">
        <f>S106</f>
        <v>0</v>
      </c>
    </row>
    <row r="108" spans="1:19" x14ac:dyDescent="0.25">
      <c r="A108" s="2"/>
      <c r="B108" s="2" t="s">
        <v>60</v>
      </c>
      <c r="C108" s="2"/>
      <c r="D108" s="2"/>
      <c r="E108" s="2"/>
      <c r="F108" s="2"/>
      <c r="G108" s="4"/>
      <c r="H108" s="2"/>
      <c r="I108" s="2"/>
      <c r="J108" s="2"/>
      <c r="K108" s="2"/>
      <c r="L108" s="2"/>
      <c r="M108" s="2"/>
      <c r="N108" s="2"/>
      <c r="O108" s="2"/>
      <c r="P108" s="2"/>
      <c r="Q108" s="3"/>
      <c r="R108" s="2"/>
      <c r="S108" s="3">
        <v>0</v>
      </c>
    </row>
    <row r="109" spans="1:19" x14ac:dyDescent="0.25">
      <c r="A109" s="5"/>
      <c r="B109" s="5" t="s">
        <v>61</v>
      </c>
      <c r="C109" s="5"/>
      <c r="D109" s="5"/>
      <c r="E109" s="5"/>
      <c r="F109" s="5"/>
      <c r="G109" s="6"/>
      <c r="H109" s="5"/>
      <c r="I109" s="5"/>
      <c r="J109" s="5"/>
      <c r="K109" s="5"/>
      <c r="L109" s="5"/>
      <c r="M109" s="5"/>
      <c r="N109" s="5"/>
      <c r="O109" s="5"/>
      <c r="P109" s="5"/>
      <c r="Q109" s="7"/>
      <c r="R109" s="5"/>
      <c r="S109" s="7">
        <f>S108</f>
        <v>0</v>
      </c>
    </row>
    <row r="110" spans="1:19" x14ac:dyDescent="0.25">
      <c r="A110" s="2"/>
      <c r="B110" s="2" t="s">
        <v>62</v>
      </c>
      <c r="C110" s="2"/>
      <c r="D110" s="2"/>
      <c r="E110" s="2"/>
      <c r="F110" s="2"/>
      <c r="G110" s="4"/>
      <c r="H110" s="2"/>
      <c r="I110" s="2"/>
      <c r="J110" s="2"/>
      <c r="K110" s="2"/>
      <c r="L110" s="2"/>
      <c r="M110" s="2"/>
      <c r="N110" s="2"/>
      <c r="O110" s="2"/>
      <c r="P110" s="2"/>
      <c r="Q110" s="3"/>
      <c r="R110" s="2"/>
      <c r="S110" s="3">
        <v>6572.98</v>
      </c>
    </row>
    <row r="111" spans="1:19" x14ac:dyDescent="0.25">
      <c r="A111" s="5"/>
      <c r="B111" s="5"/>
      <c r="C111" s="5"/>
      <c r="D111" s="5"/>
      <c r="E111" s="5" t="s">
        <v>157</v>
      </c>
      <c r="F111" s="5"/>
      <c r="G111" s="6">
        <v>46027</v>
      </c>
      <c r="H111" s="5"/>
      <c r="I111" s="5" t="s">
        <v>164</v>
      </c>
      <c r="J111" s="5"/>
      <c r="K111" s="5" t="s">
        <v>203</v>
      </c>
      <c r="L111" s="5"/>
      <c r="M111" s="5" t="s">
        <v>220</v>
      </c>
      <c r="N111" s="5"/>
      <c r="O111" s="5" t="s">
        <v>8</v>
      </c>
      <c r="P111" s="5"/>
      <c r="Q111" s="7">
        <v>475</v>
      </c>
      <c r="R111" s="5"/>
      <c r="S111" s="7">
        <f>ROUND(S110+Q111,5)</f>
        <v>7047.98</v>
      </c>
    </row>
    <row r="112" spans="1:19" x14ac:dyDescent="0.25">
      <c r="A112" s="5"/>
      <c r="B112" s="5"/>
      <c r="C112" s="5"/>
      <c r="D112" s="5"/>
      <c r="E112" s="5" t="s">
        <v>157</v>
      </c>
      <c r="F112" s="5"/>
      <c r="G112" s="6">
        <v>46027</v>
      </c>
      <c r="H112" s="5"/>
      <c r="I112" s="5" t="s">
        <v>165</v>
      </c>
      <c r="J112" s="5"/>
      <c r="K112" s="5" t="s">
        <v>204</v>
      </c>
      <c r="L112" s="5"/>
      <c r="M112" s="5" t="s">
        <v>220</v>
      </c>
      <c r="N112" s="5"/>
      <c r="O112" s="5" t="s">
        <v>8</v>
      </c>
      <c r="P112" s="5"/>
      <c r="Q112" s="7">
        <v>275</v>
      </c>
      <c r="R112" s="5"/>
      <c r="S112" s="7">
        <f>ROUND(S111+Q112,5)</f>
        <v>7322.98</v>
      </c>
    </row>
    <row r="113" spans="1:19" x14ac:dyDescent="0.25">
      <c r="A113" s="5"/>
      <c r="B113" s="5"/>
      <c r="C113" s="5"/>
      <c r="D113" s="5"/>
      <c r="E113" s="5" t="s">
        <v>158</v>
      </c>
      <c r="F113" s="5"/>
      <c r="G113" s="6">
        <v>46034</v>
      </c>
      <c r="H113" s="5"/>
      <c r="I113" s="5"/>
      <c r="J113" s="5"/>
      <c r="K113" s="5" t="s">
        <v>204</v>
      </c>
      <c r="L113" s="5"/>
      <c r="M113" s="5" t="s">
        <v>221</v>
      </c>
      <c r="N113" s="5"/>
      <c r="O113" s="5" t="s">
        <v>8</v>
      </c>
      <c r="P113" s="5"/>
      <c r="Q113" s="7">
        <v>-7942.73</v>
      </c>
      <c r="R113" s="5"/>
      <c r="S113" s="7">
        <f>ROUND(S112+Q113,5)</f>
        <v>-619.75</v>
      </c>
    </row>
    <row r="114" spans="1:19" x14ac:dyDescent="0.25">
      <c r="A114" s="5"/>
      <c r="B114" s="5"/>
      <c r="C114" s="5"/>
      <c r="D114" s="5"/>
      <c r="E114" s="5" t="s">
        <v>157</v>
      </c>
      <c r="F114" s="5"/>
      <c r="G114" s="6">
        <v>46050</v>
      </c>
      <c r="H114" s="5"/>
      <c r="I114" s="5" t="s">
        <v>175</v>
      </c>
      <c r="J114" s="5"/>
      <c r="K114" s="5" t="s">
        <v>203</v>
      </c>
      <c r="L114" s="5"/>
      <c r="M114" s="5" t="s">
        <v>220</v>
      </c>
      <c r="N114" s="5"/>
      <c r="O114" s="5" t="s">
        <v>8</v>
      </c>
      <c r="P114" s="5"/>
      <c r="Q114" s="7">
        <v>475</v>
      </c>
      <c r="R114" s="5"/>
      <c r="S114" s="7">
        <f>ROUND(S113+Q114,5)</f>
        <v>-144.75</v>
      </c>
    </row>
    <row r="115" spans="1:19" x14ac:dyDescent="0.25">
      <c r="A115" s="5"/>
      <c r="B115" s="5"/>
      <c r="C115" s="5"/>
      <c r="D115" s="5"/>
      <c r="E115" s="5" t="s">
        <v>157</v>
      </c>
      <c r="F115" s="5"/>
      <c r="G115" s="6">
        <v>46050</v>
      </c>
      <c r="H115" s="5"/>
      <c r="I115" s="5" t="s">
        <v>176</v>
      </c>
      <c r="J115" s="5"/>
      <c r="K115" s="5" t="s">
        <v>204</v>
      </c>
      <c r="L115" s="5"/>
      <c r="M115" s="5" t="s">
        <v>220</v>
      </c>
      <c r="N115" s="5"/>
      <c r="O115" s="5" t="s">
        <v>8</v>
      </c>
      <c r="P115" s="5"/>
      <c r="Q115" s="7">
        <v>275</v>
      </c>
      <c r="R115" s="5"/>
      <c r="S115" s="7">
        <f>ROUND(S114+Q115,5)</f>
        <v>130.25</v>
      </c>
    </row>
    <row r="116" spans="1:19" x14ac:dyDescent="0.25">
      <c r="A116" s="5"/>
      <c r="B116" s="5"/>
      <c r="C116" s="5"/>
      <c r="D116" s="5"/>
      <c r="E116" s="5" t="s">
        <v>159</v>
      </c>
      <c r="F116" s="5"/>
      <c r="G116" s="6">
        <v>46052</v>
      </c>
      <c r="H116" s="5"/>
      <c r="I116" s="5" t="s">
        <v>197</v>
      </c>
      <c r="J116" s="5"/>
      <c r="K116" s="5"/>
      <c r="L116" s="5"/>
      <c r="M116" s="5" t="s">
        <v>222</v>
      </c>
      <c r="N116" s="5"/>
      <c r="O116" s="5" t="s">
        <v>249</v>
      </c>
      <c r="P116" s="5"/>
      <c r="Q116" s="7">
        <v>-750</v>
      </c>
      <c r="R116" s="5"/>
      <c r="S116" s="7">
        <f>ROUND(S115+Q116,5)</f>
        <v>-619.75</v>
      </c>
    </row>
    <row r="117" spans="1:19" x14ac:dyDescent="0.25">
      <c r="A117" s="5"/>
      <c r="B117" s="5"/>
      <c r="C117" s="5"/>
      <c r="D117" s="5"/>
      <c r="E117" s="5" t="s">
        <v>159</v>
      </c>
      <c r="F117" s="5"/>
      <c r="G117" s="6">
        <v>46052</v>
      </c>
      <c r="H117" s="5"/>
      <c r="I117" s="5" t="s">
        <v>198</v>
      </c>
      <c r="J117" s="5"/>
      <c r="K117" s="5"/>
      <c r="L117" s="5"/>
      <c r="M117" s="5" t="s">
        <v>221</v>
      </c>
      <c r="N117" s="5"/>
      <c r="O117" s="5" t="s">
        <v>70</v>
      </c>
      <c r="P117" s="5"/>
      <c r="Q117" s="7">
        <v>7887</v>
      </c>
      <c r="R117" s="5"/>
      <c r="S117" s="7">
        <f>ROUND(S116+Q117,5)</f>
        <v>7267.25</v>
      </c>
    </row>
    <row r="118" spans="1:19" x14ac:dyDescent="0.25">
      <c r="A118" s="5"/>
      <c r="B118" s="5"/>
      <c r="C118" s="5"/>
      <c r="D118" s="5"/>
      <c r="E118" s="5" t="s">
        <v>158</v>
      </c>
      <c r="F118" s="5"/>
      <c r="G118" s="6">
        <v>46057</v>
      </c>
      <c r="H118" s="5"/>
      <c r="I118" s="5"/>
      <c r="J118" s="5"/>
      <c r="K118" s="5" t="s">
        <v>204</v>
      </c>
      <c r="L118" s="5"/>
      <c r="M118" s="5" t="s">
        <v>221</v>
      </c>
      <c r="N118" s="5"/>
      <c r="O118" s="5" t="s">
        <v>8</v>
      </c>
      <c r="P118" s="5"/>
      <c r="Q118" s="7">
        <v>-7887</v>
      </c>
      <c r="R118" s="5"/>
      <c r="S118" s="7">
        <f>ROUND(S117+Q118,5)</f>
        <v>-619.75</v>
      </c>
    </row>
    <row r="119" spans="1:19" x14ac:dyDescent="0.25">
      <c r="A119" s="5"/>
      <c r="B119" s="5"/>
      <c r="C119" s="5"/>
      <c r="D119" s="5"/>
      <c r="E119" s="5" t="s">
        <v>159</v>
      </c>
      <c r="F119" s="5"/>
      <c r="G119" s="6">
        <v>46081</v>
      </c>
      <c r="H119" s="5"/>
      <c r="I119" s="5" t="s">
        <v>197</v>
      </c>
      <c r="J119" s="5"/>
      <c r="K119" s="5"/>
      <c r="L119" s="5"/>
      <c r="M119" s="5" t="s">
        <v>222</v>
      </c>
      <c r="N119" s="5"/>
      <c r="O119" s="5" t="s">
        <v>249</v>
      </c>
      <c r="P119" s="5"/>
      <c r="Q119" s="7">
        <v>-750</v>
      </c>
      <c r="R119" s="5"/>
      <c r="S119" s="7">
        <f>ROUND(S118+Q119,5)</f>
        <v>-1369.75</v>
      </c>
    </row>
    <row r="120" spans="1:19" x14ac:dyDescent="0.25">
      <c r="A120" s="5"/>
      <c r="B120" s="5"/>
      <c r="C120" s="5"/>
      <c r="D120" s="5"/>
      <c r="E120" s="5" t="s">
        <v>159</v>
      </c>
      <c r="F120" s="5"/>
      <c r="G120" s="6">
        <v>46081</v>
      </c>
      <c r="H120" s="5"/>
      <c r="I120" s="5" t="s">
        <v>198</v>
      </c>
      <c r="J120" s="5"/>
      <c r="K120" s="5"/>
      <c r="L120" s="5"/>
      <c r="M120" s="5" t="s">
        <v>221</v>
      </c>
      <c r="N120" s="5"/>
      <c r="O120" s="5" t="s">
        <v>70</v>
      </c>
      <c r="P120" s="5"/>
      <c r="Q120" s="7">
        <v>7907.27</v>
      </c>
      <c r="R120" s="5"/>
      <c r="S120" s="7">
        <f>ROUND(S119+Q120,5)</f>
        <v>6537.52</v>
      </c>
    </row>
    <row r="121" spans="1:19" x14ac:dyDescent="0.25">
      <c r="A121" s="5"/>
      <c r="B121" s="5"/>
      <c r="C121" s="5"/>
      <c r="D121" s="5"/>
      <c r="E121" s="5" t="s">
        <v>157</v>
      </c>
      <c r="F121" s="5"/>
      <c r="G121" s="6">
        <v>46087</v>
      </c>
      <c r="H121" s="5"/>
      <c r="I121" s="5" t="s">
        <v>188</v>
      </c>
      <c r="J121" s="5"/>
      <c r="K121" s="5" t="s">
        <v>203</v>
      </c>
      <c r="L121" s="5"/>
      <c r="M121" s="5" t="s">
        <v>220</v>
      </c>
      <c r="N121" s="5"/>
      <c r="O121" s="5" t="s">
        <v>8</v>
      </c>
      <c r="P121" s="5"/>
      <c r="Q121" s="7">
        <v>475</v>
      </c>
      <c r="R121" s="5"/>
      <c r="S121" s="7">
        <f>ROUND(S120+Q121,5)</f>
        <v>7012.52</v>
      </c>
    </row>
    <row r="122" spans="1:19" x14ac:dyDescent="0.25">
      <c r="A122" s="5"/>
      <c r="B122" s="5"/>
      <c r="C122" s="5"/>
      <c r="D122" s="5"/>
      <c r="E122" s="5" t="s">
        <v>157</v>
      </c>
      <c r="F122" s="5"/>
      <c r="G122" s="6">
        <v>46087</v>
      </c>
      <c r="H122" s="5"/>
      <c r="I122" s="5" t="s">
        <v>189</v>
      </c>
      <c r="J122" s="5"/>
      <c r="K122" s="5" t="s">
        <v>204</v>
      </c>
      <c r="L122" s="5"/>
      <c r="M122" s="5" t="s">
        <v>220</v>
      </c>
      <c r="N122" s="5"/>
      <c r="O122" s="5" t="s">
        <v>8</v>
      </c>
      <c r="P122" s="5"/>
      <c r="Q122" s="7">
        <v>275</v>
      </c>
      <c r="R122" s="5"/>
      <c r="S122" s="7">
        <f>ROUND(S121+Q122,5)</f>
        <v>7287.52</v>
      </c>
    </row>
    <row r="123" spans="1:19" x14ac:dyDescent="0.25">
      <c r="A123" s="5"/>
      <c r="B123" s="5"/>
      <c r="C123" s="5"/>
      <c r="D123" s="5"/>
      <c r="E123" s="5" t="s">
        <v>158</v>
      </c>
      <c r="F123" s="5"/>
      <c r="G123" s="6">
        <v>46087</v>
      </c>
      <c r="H123" s="5"/>
      <c r="I123" s="5"/>
      <c r="J123" s="5"/>
      <c r="K123" s="5" t="s">
        <v>204</v>
      </c>
      <c r="L123" s="5"/>
      <c r="M123" s="5" t="s">
        <v>221</v>
      </c>
      <c r="N123" s="5"/>
      <c r="O123" s="5" t="s">
        <v>8</v>
      </c>
      <c r="P123" s="5"/>
      <c r="Q123" s="7">
        <v>-7907.27</v>
      </c>
      <c r="R123" s="5"/>
      <c r="S123" s="7">
        <f>ROUND(S122+Q123,5)</f>
        <v>-619.75</v>
      </c>
    </row>
    <row r="124" spans="1:19" x14ac:dyDescent="0.25">
      <c r="A124" s="5"/>
      <c r="B124" s="5"/>
      <c r="C124" s="5"/>
      <c r="D124" s="5"/>
      <c r="E124" s="5" t="s">
        <v>159</v>
      </c>
      <c r="F124" s="5"/>
      <c r="G124" s="6">
        <v>46112</v>
      </c>
      <c r="H124" s="5"/>
      <c r="I124" s="5" t="s">
        <v>197</v>
      </c>
      <c r="J124" s="5"/>
      <c r="K124" s="5"/>
      <c r="L124" s="5"/>
      <c r="M124" s="5" t="s">
        <v>222</v>
      </c>
      <c r="N124" s="5"/>
      <c r="O124" s="5" t="s">
        <v>249</v>
      </c>
      <c r="P124" s="5"/>
      <c r="Q124" s="7">
        <v>-750</v>
      </c>
      <c r="R124" s="5"/>
      <c r="S124" s="7">
        <f>ROUND(S123+Q124,5)</f>
        <v>-1369.75</v>
      </c>
    </row>
    <row r="125" spans="1:19" x14ac:dyDescent="0.25">
      <c r="A125" s="5"/>
      <c r="B125" s="5"/>
      <c r="C125" s="5"/>
      <c r="D125" s="5"/>
      <c r="E125" s="5" t="s">
        <v>157</v>
      </c>
      <c r="F125" s="5"/>
      <c r="G125" s="6">
        <v>46122</v>
      </c>
      <c r="H125" s="5"/>
      <c r="I125" s="5" t="s">
        <v>195</v>
      </c>
      <c r="J125" s="5"/>
      <c r="K125" s="5" t="s">
        <v>203</v>
      </c>
      <c r="L125" s="5"/>
      <c r="M125" s="5" t="s">
        <v>220</v>
      </c>
      <c r="N125" s="5"/>
      <c r="O125" s="5" t="s">
        <v>8</v>
      </c>
      <c r="P125" s="5"/>
      <c r="Q125" s="7">
        <v>475</v>
      </c>
      <c r="R125" s="5"/>
      <c r="S125" s="7">
        <f>ROUND(S124+Q125,5)</f>
        <v>-894.75</v>
      </c>
    </row>
    <row r="126" spans="1:19" ht="15.75" thickBot="1" x14ac:dyDescent="0.3">
      <c r="A126" s="5"/>
      <c r="B126" s="5"/>
      <c r="C126" s="5"/>
      <c r="D126" s="5"/>
      <c r="E126" s="5" t="s">
        <v>157</v>
      </c>
      <c r="F126" s="5"/>
      <c r="G126" s="6">
        <v>46122</v>
      </c>
      <c r="H126" s="5"/>
      <c r="I126" s="5" t="s">
        <v>196</v>
      </c>
      <c r="J126" s="5"/>
      <c r="K126" s="5" t="s">
        <v>204</v>
      </c>
      <c r="L126" s="5"/>
      <c r="M126" s="5" t="s">
        <v>220</v>
      </c>
      <c r="N126" s="5"/>
      <c r="O126" s="5" t="s">
        <v>8</v>
      </c>
      <c r="P126" s="5"/>
      <c r="Q126" s="8">
        <v>275</v>
      </c>
      <c r="R126" s="5"/>
      <c r="S126" s="8">
        <f>ROUND(S125+Q126,5)</f>
        <v>-619.75</v>
      </c>
    </row>
    <row r="127" spans="1:19" x14ac:dyDescent="0.25">
      <c r="A127" s="5"/>
      <c r="B127" s="5" t="s">
        <v>63</v>
      </c>
      <c r="C127" s="5"/>
      <c r="D127" s="5"/>
      <c r="E127" s="5"/>
      <c r="F127" s="5"/>
      <c r="G127" s="6"/>
      <c r="H127" s="5"/>
      <c r="I127" s="5"/>
      <c r="J127" s="5"/>
      <c r="K127" s="5"/>
      <c r="L127" s="5"/>
      <c r="M127" s="5"/>
      <c r="N127" s="5"/>
      <c r="O127" s="5"/>
      <c r="P127" s="5"/>
      <c r="Q127" s="7">
        <f>ROUND(SUM(Q110:Q126),5)</f>
        <v>-7192.73</v>
      </c>
      <c r="R127" s="5"/>
      <c r="S127" s="7">
        <f>S126</f>
        <v>-619.75</v>
      </c>
    </row>
    <row r="128" spans="1:19" x14ac:dyDescent="0.25">
      <c r="A128" s="2"/>
      <c r="B128" s="2" t="s">
        <v>64</v>
      </c>
      <c r="C128" s="2"/>
      <c r="D128" s="2"/>
      <c r="E128" s="2"/>
      <c r="F128" s="2"/>
      <c r="G128" s="4"/>
      <c r="H128" s="2"/>
      <c r="I128" s="2"/>
      <c r="J128" s="2"/>
      <c r="K128" s="2"/>
      <c r="L128" s="2"/>
      <c r="M128" s="2"/>
      <c r="N128" s="2"/>
      <c r="O128" s="2"/>
      <c r="P128" s="2"/>
      <c r="Q128" s="3"/>
      <c r="R128" s="2"/>
      <c r="S128" s="3">
        <v>-109271.42</v>
      </c>
    </row>
    <row r="129" spans="1:19" x14ac:dyDescent="0.25">
      <c r="A129" s="5"/>
      <c r="B129" s="5" t="s">
        <v>65</v>
      </c>
      <c r="C129" s="5"/>
      <c r="D129" s="5"/>
      <c r="E129" s="5"/>
      <c r="F129" s="5"/>
      <c r="G129" s="6"/>
      <c r="H129" s="5"/>
      <c r="I129" s="5"/>
      <c r="J129" s="5"/>
      <c r="K129" s="5"/>
      <c r="L129" s="5"/>
      <c r="M129" s="5"/>
      <c r="N129" s="5"/>
      <c r="O129" s="5"/>
      <c r="P129" s="5"/>
      <c r="Q129" s="7"/>
      <c r="R129" s="5"/>
      <c r="S129" s="7">
        <f>S128</f>
        <v>-109271.42</v>
      </c>
    </row>
    <row r="130" spans="1:19" x14ac:dyDescent="0.25">
      <c r="A130" s="2"/>
      <c r="B130" s="2" t="s">
        <v>66</v>
      </c>
      <c r="C130" s="2"/>
      <c r="D130" s="2"/>
      <c r="E130" s="2"/>
      <c r="F130" s="2"/>
      <c r="G130" s="4"/>
      <c r="H130" s="2"/>
      <c r="I130" s="2"/>
      <c r="J130" s="2"/>
      <c r="K130" s="2"/>
      <c r="L130" s="2"/>
      <c r="M130" s="2"/>
      <c r="N130" s="2"/>
      <c r="O130" s="2"/>
      <c r="P130" s="2"/>
      <c r="Q130" s="3"/>
      <c r="R130" s="2"/>
      <c r="S130" s="3">
        <v>0</v>
      </c>
    </row>
    <row r="131" spans="1:19" x14ac:dyDescent="0.25">
      <c r="A131" s="5"/>
      <c r="B131" s="5" t="s">
        <v>67</v>
      </c>
      <c r="C131" s="5"/>
      <c r="D131" s="5"/>
      <c r="E131" s="5"/>
      <c r="F131" s="5"/>
      <c r="G131" s="6"/>
      <c r="H131" s="5"/>
      <c r="I131" s="5"/>
      <c r="J131" s="5"/>
      <c r="K131" s="5"/>
      <c r="L131" s="5"/>
      <c r="M131" s="5"/>
      <c r="N131" s="5"/>
      <c r="O131" s="5"/>
      <c r="P131" s="5"/>
      <c r="Q131" s="7"/>
      <c r="R131" s="5"/>
      <c r="S131" s="7">
        <f>S130</f>
        <v>0</v>
      </c>
    </row>
    <row r="132" spans="1:19" x14ac:dyDescent="0.25">
      <c r="A132" s="2"/>
      <c r="B132" s="2" t="s">
        <v>68</v>
      </c>
      <c r="C132" s="2"/>
      <c r="D132" s="2"/>
      <c r="E132" s="2"/>
      <c r="F132" s="2"/>
      <c r="G132" s="4"/>
      <c r="H132" s="2"/>
      <c r="I132" s="2"/>
      <c r="J132" s="2"/>
      <c r="K132" s="2"/>
      <c r="L132" s="2"/>
      <c r="M132" s="2"/>
      <c r="N132" s="2"/>
      <c r="O132" s="2"/>
      <c r="P132" s="2"/>
      <c r="Q132" s="3"/>
      <c r="R132" s="2"/>
      <c r="S132" s="3">
        <v>-350267.29</v>
      </c>
    </row>
    <row r="133" spans="1:19" x14ac:dyDescent="0.25">
      <c r="A133" s="5"/>
      <c r="B133" s="5" t="s">
        <v>69</v>
      </c>
      <c r="C133" s="5"/>
      <c r="D133" s="5"/>
      <c r="E133" s="5"/>
      <c r="F133" s="5"/>
      <c r="G133" s="6"/>
      <c r="H133" s="5"/>
      <c r="I133" s="5"/>
      <c r="J133" s="5"/>
      <c r="K133" s="5"/>
      <c r="L133" s="5"/>
      <c r="M133" s="5"/>
      <c r="N133" s="5"/>
      <c r="O133" s="5"/>
      <c r="P133" s="5"/>
      <c r="Q133" s="7"/>
      <c r="R133" s="5"/>
      <c r="S133" s="7">
        <v>-350267.29</v>
      </c>
    </row>
    <row r="134" spans="1:19" x14ac:dyDescent="0.25">
      <c r="A134" s="2"/>
      <c r="B134" s="2" t="s">
        <v>70</v>
      </c>
      <c r="C134" s="2"/>
      <c r="D134" s="2"/>
      <c r="E134" s="2"/>
      <c r="F134" s="2"/>
      <c r="G134" s="4"/>
      <c r="H134" s="2"/>
      <c r="I134" s="2"/>
      <c r="J134" s="2"/>
      <c r="K134" s="2"/>
      <c r="L134" s="2"/>
      <c r="M134" s="2"/>
      <c r="N134" s="2"/>
      <c r="O134" s="2"/>
      <c r="P134" s="2"/>
      <c r="Q134" s="3"/>
      <c r="R134" s="2"/>
      <c r="S134" s="3">
        <v>0</v>
      </c>
    </row>
    <row r="135" spans="1:19" x14ac:dyDescent="0.25">
      <c r="A135" s="5"/>
      <c r="B135" s="5"/>
      <c r="C135" s="5"/>
      <c r="D135" s="5"/>
      <c r="E135" s="5" t="s">
        <v>159</v>
      </c>
      <c r="F135" s="5"/>
      <c r="G135" s="6">
        <v>46052</v>
      </c>
      <c r="H135" s="5"/>
      <c r="I135" s="5" t="s">
        <v>198</v>
      </c>
      <c r="J135" s="5"/>
      <c r="K135" s="5"/>
      <c r="L135" s="5"/>
      <c r="M135" s="5" t="s">
        <v>221</v>
      </c>
      <c r="N135" s="5"/>
      <c r="O135" s="5" t="s">
        <v>62</v>
      </c>
      <c r="P135" s="5"/>
      <c r="Q135" s="7">
        <v>-7887</v>
      </c>
      <c r="R135" s="5"/>
      <c r="S135" s="7">
        <f>ROUND(S134+Q135,5)</f>
        <v>-7887</v>
      </c>
    </row>
    <row r="136" spans="1:19" ht="15.75" thickBot="1" x14ac:dyDescent="0.3">
      <c r="A136" s="5"/>
      <c r="B136" s="5"/>
      <c r="C136" s="5"/>
      <c r="D136" s="5"/>
      <c r="E136" s="5" t="s">
        <v>159</v>
      </c>
      <c r="F136" s="5"/>
      <c r="G136" s="6">
        <v>46081</v>
      </c>
      <c r="H136" s="5"/>
      <c r="I136" s="5" t="s">
        <v>198</v>
      </c>
      <c r="J136" s="5"/>
      <c r="K136" s="5"/>
      <c r="L136" s="5"/>
      <c r="M136" s="5" t="s">
        <v>221</v>
      </c>
      <c r="N136" s="5"/>
      <c r="O136" s="5" t="s">
        <v>62</v>
      </c>
      <c r="P136" s="5"/>
      <c r="Q136" s="8">
        <v>-7907.27</v>
      </c>
      <c r="R136" s="5"/>
      <c r="S136" s="8">
        <f>ROUND(S135+Q136,5)</f>
        <v>-15794.27</v>
      </c>
    </row>
    <row r="137" spans="1:19" x14ac:dyDescent="0.25">
      <c r="A137" s="5"/>
      <c r="B137" s="5" t="s">
        <v>71</v>
      </c>
      <c r="C137" s="5"/>
      <c r="D137" s="5"/>
      <c r="E137" s="5"/>
      <c r="F137" s="5"/>
      <c r="G137" s="6"/>
      <c r="H137" s="5"/>
      <c r="I137" s="5"/>
      <c r="J137" s="5"/>
      <c r="K137" s="5"/>
      <c r="L137" s="5"/>
      <c r="M137" s="5"/>
      <c r="N137" s="5"/>
      <c r="O137" s="5"/>
      <c r="P137" s="5"/>
      <c r="Q137" s="7">
        <f>ROUND(SUM(Q134:Q136),5)</f>
        <v>-15794.27</v>
      </c>
      <c r="R137" s="5"/>
      <c r="S137" s="7">
        <f>S136</f>
        <v>-15794.27</v>
      </c>
    </row>
    <row r="138" spans="1:19" x14ac:dyDescent="0.25">
      <c r="A138" s="2"/>
      <c r="B138" s="2" t="s">
        <v>72</v>
      </c>
      <c r="C138" s="2"/>
      <c r="D138" s="2"/>
      <c r="E138" s="2"/>
      <c r="F138" s="2"/>
      <c r="G138" s="4"/>
      <c r="H138" s="2"/>
      <c r="I138" s="2"/>
      <c r="J138" s="2"/>
      <c r="K138" s="2"/>
      <c r="L138" s="2"/>
      <c r="M138" s="2"/>
      <c r="N138" s="2"/>
      <c r="O138" s="2"/>
      <c r="P138" s="2"/>
      <c r="Q138" s="3"/>
      <c r="R138" s="2"/>
      <c r="S138" s="3">
        <v>0</v>
      </c>
    </row>
    <row r="139" spans="1:19" x14ac:dyDescent="0.25">
      <c r="A139" s="5"/>
      <c r="B139" s="5" t="s">
        <v>73</v>
      </c>
      <c r="C139" s="5"/>
      <c r="D139" s="5"/>
      <c r="E139" s="5"/>
      <c r="F139" s="5"/>
      <c r="G139" s="6"/>
      <c r="H139" s="5"/>
      <c r="I139" s="5"/>
      <c r="J139" s="5"/>
      <c r="K139" s="5"/>
      <c r="L139" s="5"/>
      <c r="M139" s="5"/>
      <c r="N139" s="5"/>
      <c r="O139" s="5"/>
      <c r="P139" s="5"/>
      <c r="Q139" s="7"/>
      <c r="R139" s="5"/>
      <c r="S139" s="7">
        <f>S138</f>
        <v>0</v>
      </c>
    </row>
    <row r="140" spans="1:19" x14ac:dyDescent="0.25">
      <c r="A140" s="2"/>
      <c r="B140" s="2" t="s">
        <v>74</v>
      </c>
      <c r="C140" s="2"/>
      <c r="D140" s="2"/>
      <c r="E140" s="2"/>
      <c r="F140" s="2"/>
      <c r="G140" s="4"/>
      <c r="H140" s="2"/>
      <c r="I140" s="2"/>
      <c r="J140" s="2"/>
      <c r="K140" s="2"/>
      <c r="L140" s="2"/>
      <c r="M140" s="2"/>
      <c r="N140" s="2"/>
      <c r="O140" s="2"/>
      <c r="P140" s="2"/>
      <c r="Q140" s="3"/>
      <c r="R140" s="2"/>
      <c r="S140" s="3">
        <v>0</v>
      </c>
    </row>
    <row r="141" spans="1:19" x14ac:dyDescent="0.25">
      <c r="A141" s="5"/>
      <c r="B141" s="5" t="s">
        <v>75</v>
      </c>
      <c r="C141" s="5"/>
      <c r="D141" s="5"/>
      <c r="E141" s="5"/>
      <c r="F141" s="5"/>
      <c r="G141" s="6"/>
      <c r="H141" s="5"/>
      <c r="I141" s="5"/>
      <c r="J141" s="5"/>
      <c r="K141" s="5"/>
      <c r="L141" s="5"/>
      <c r="M141" s="5"/>
      <c r="N141" s="5"/>
      <c r="O141" s="5"/>
      <c r="P141" s="5"/>
      <c r="Q141" s="7"/>
      <c r="R141" s="5"/>
      <c r="S141" s="7">
        <f>S140</f>
        <v>0</v>
      </c>
    </row>
    <row r="142" spans="1:19" x14ac:dyDescent="0.25">
      <c r="A142" s="2"/>
      <c r="B142" s="2" t="s">
        <v>76</v>
      </c>
      <c r="C142" s="2"/>
      <c r="D142" s="2"/>
      <c r="E142" s="2"/>
      <c r="F142" s="2"/>
      <c r="G142" s="4"/>
      <c r="H142" s="2"/>
      <c r="I142" s="2"/>
      <c r="J142" s="2"/>
      <c r="K142" s="2"/>
      <c r="L142" s="2"/>
      <c r="M142" s="2"/>
      <c r="N142" s="2"/>
      <c r="O142" s="2"/>
      <c r="P142" s="2"/>
      <c r="Q142" s="3"/>
      <c r="R142" s="2"/>
      <c r="S142" s="3">
        <v>0</v>
      </c>
    </row>
    <row r="143" spans="1:19" x14ac:dyDescent="0.25">
      <c r="A143" s="5"/>
      <c r="B143" s="5" t="s">
        <v>77</v>
      </c>
      <c r="C143" s="5"/>
      <c r="D143" s="5"/>
      <c r="E143" s="5"/>
      <c r="F143" s="5"/>
      <c r="G143" s="6"/>
      <c r="H143" s="5"/>
      <c r="I143" s="5"/>
      <c r="J143" s="5"/>
      <c r="K143" s="5"/>
      <c r="L143" s="5"/>
      <c r="M143" s="5"/>
      <c r="N143" s="5"/>
      <c r="O143" s="5"/>
      <c r="P143" s="5"/>
      <c r="Q143" s="7"/>
      <c r="R143" s="5"/>
      <c r="S143" s="7">
        <f>S142</f>
        <v>0</v>
      </c>
    </row>
    <row r="144" spans="1:19" x14ac:dyDescent="0.25">
      <c r="A144" s="2"/>
      <c r="B144" s="2" t="s">
        <v>78</v>
      </c>
      <c r="C144" s="2"/>
      <c r="D144" s="2"/>
      <c r="E144" s="2"/>
      <c r="F144" s="2"/>
      <c r="G144" s="4"/>
      <c r="H144" s="2"/>
      <c r="I144" s="2"/>
      <c r="J144" s="2"/>
      <c r="K144" s="2"/>
      <c r="L144" s="2"/>
      <c r="M144" s="2"/>
      <c r="N144" s="2"/>
      <c r="O144" s="2"/>
      <c r="P144" s="2"/>
      <c r="Q144" s="3"/>
      <c r="R144" s="2"/>
      <c r="S144" s="3">
        <v>0</v>
      </c>
    </row>
    <row r="145" spans="1:19" x14ac:dyDescent="0.25">
      <c r="A145" s="5"/>
      <c r="B145" s="5" t="s">
        <v>79</v>
      </c>
      <c r="C145" s="5"/>
      <c r="D145" s="5"/>
      <c r="E145" s="5"/>
      <c r="F145" s="5"/>
      <c r="G145" s="6"/>
      <c r="H145" s="5"/>
      <c r="I145" s="5"/>
      <c r="J145" s="5"/>
      <c r="K145" s="5"/>
      <c r="L145" s="5"/>
      <c r="M145" s="5"/>
      <c r="N145" s="5"/>
      <c r="O145" s="5"/>
      <c r="P145" s="5"/>
      <c r="Q145" s="7"/>
      <c r="R145" s="5"/>
      <c r="S145" s="7">
        <f>S144</f>
        <v>0</v>
      </c>
    </row>
    <row r="146" spans="1:19" x14ac:dyDescent="0.25">
      <c r="A146" s="2"/>
      <c r="B146" s="2" t="s">
        <v>80</v>
      </c>
      <c r="C146" s="2"/>
      <c r="D146" s="2"/>
      <c r="E146" s="2"/>
      <c r="F146" s="2"/>
      <c r="G146" s="4"/>
      <c r="H146" s="2"/>
      <c r="I146" s="2"/>
      <c r="J146" s="2"/>
      <c r="K146" s="2"/>
      <c r="L146" s="2"/>
      <c r="M146" s="2"/>
      <c r="N146" s="2"/>
      <c r="O146" s="2"/>
      <c r="P146" s="2"/>
      <c r="Q146" s="3"/>
      <c r="R146" s="2"/>
      <c r="S146" s="3">
        <v>0</v>
      </c>
    </row>
    <row r="147" spans="1:19" x14ac:dyDescent="0.25">
      <c r="A147" s="5"/>
      <c r="B147" s="5" t="s">
        <v>81</v>
      </c>
      <c r="C147" s="5"/>
      <c r="D147" s="5"/>
      <c r="E147" s="5"/>
      <c r="F147" s="5"/>
      <c r="G147" s="6"/>
      <c r="H147" s="5"/>
      <c r="I147" s="5"/>
      <c r="J147" s="5"/>
      <c r="K147" s="5"/>
      <c r="L147" s="5"/>
      <c r="M147" s="5"/>
      <c r="N147" s="5"/>
      <c r="O147" s="5"/>
      <c r="P147" s="5"/>
      <c r="Q147" s="7"/>
      <c r="R147" s="5"/>
      <c r="S147" s="7">
        <f>S146</f>
        <v>0</v>
      </c>
    </row>
    <row r="148" spans="1:19" x14ac:dyDescent="0.25">
      <c r="A148" s="2"/>
      <c r="B148" s="2" t="s">
        <v>82</v>
      </c>
      <c r="C148" s="2"/>
      <c r="D148" s="2"/>
      <c r="E148" s="2"/>
      <c r="F148" s="2"/>
      <c r="G148" s="4"/>
      <c r="H148" s="2"/>
      <c r="I148" s="2"/>
      <c r="J148" s="2"/>
      <c r="K148" s="2"/>
      <c r="L148" s="2"/>
      <c r="M148" s="2"/>
      <c r="N148" s="2"/>
      <c r="O148" s="2"/>
      <c r="P148" s="2"/>
      <c r="Q148" s="3"/>
      <c r="R148" s="2"/>
      <c r="S148" s="3">
        <v>0</v>
      </c>
    </row>
    <row r="149" spans="1:19" x14ac:dyDescent="0.25">
      <c r="A149" s="5"/>
      <c r="B149" s="5" t="s">
        <v>83</v>
      </c>
      <c r="C149" s="5"/>
      <c r="D149" s="5"/>
      <c r="E149" s="5"/>
      <c r="F149" s="5"/>
      <c r="G149" s="6"/>
      <c r="H149" s="5"/>
      <c r="I149" s="5"/>
      <c r="J149" s="5"/>
      <c r="K149" s="5"/>
      <c r="L149" s="5"/>
      <c r="M149" s="5"/>
      <c r="N149" s="5"/>
      <c r="O149" s="5"/>
      <c r="P149" s="5"/>
      <c r="Q149" s="7"/>
      <c r="R149" s="5"/>
      <c r="S149" s="7">
        <f>S148</f>
        <v>0</v>
      </c>
    </row>
    <row r="150" spans="1:19" x14ac:dyDescent="0.25">
      <c r="A150" s="2"/>
      <c r="B150" s="2" t="s">
        <v>84</v>
      </c>
      <c r="C150" s="2"/>
      <c r="D150" s="2"/>
      <c r="E150" s="2"/>
      <c r="F150" s="2"/>
      <c r="G150" s="4"/>
      <c r="H150" s="2"/>
      <c r="I150" s="2"/>
      <c r="J150" s="2"/>
      <c r="K150" s="2"/>
      <c r="L150" s="2"/>
      <c r="M150" s="2"/>
      <c r="N150" s="2"/>
      <c r="O150" s="2"/>
      <c r="P150" s="2"/>
      <c r="Q150" s="3"/>
      <c r="R150" s="2"/>
      <c r="S150" s="3">
        <v>0</v>
      </c>
    </row>
    <row r="151" spans="1:19" x14ac:dyDescent="0.25">
      <c r="A151" s="5"/>
      <c r="B151" s="5"/>
      <c r="C151" s="5"/>
      <c r="D151" s="5"/>
      <c r="E151" s="5" t="s">
        <v>158</v>
      </c>
      <c r="F151" s="5"/>
      <c r="G151" s="6">
        <v>46053</v>
      </c>
      <c r="H151" s="5"/>
      <c r="I151" s="5"/>
      <c r="J151" s="5"/>
      <c r="K151" s="5"/>
      <c r="L151" s="5"/>
      <c r="M151" s="5" t="s">
        <v>214</v>
      </c>
      <c r="N151" s="5"/>
      <c r="O151" s="5" t="s">
        <v>8</v>
      </c>
      <c r="P151" s="5"/>
      <c r="Q151" s="7">
        <v>-46.25</v>
      </c>
      <c r="R151" s="5"/>
      <c r="S151" s="7">
        <f>ROUND(S150+Q151,5)</f>
        <v>-46.25</v>
      </c>
    </row>
    <row r="152" spans="1:19" x14ac:dyDescent="0.25">
      <c r="A152" s="5"/>
      <c r="B152" s="5"/>
      <c r="C152" s="5"/>
      <c r="D152" s="5"/>
      <c r="E152" s="5" t="s">
        <v>158</v>
      </c>
      <c r="F152" s="5"/>
      <c r="G152" s="6">
        <v>46074</v>
      </c>
      <c r="H152" s="5"/>
      <c r="I152" s="5"/>
      <c r="J152" s="5"/>
      <c r="K152" s="5"/>
      <c r="L152" s="5"/>
      <c r="M152" s="5" t="s">
        <v>214</v>
      </c>
      <c r="N152" s="5"/>
      <c r="O152" s="5" t="s">
        <v>18</v>
      </c>
      <c r="P152" s="5"/>
      <c r="Q152" s="7">
        <v>-783.68</v>
      </c>
      <c r="R152" s="5"/>
      <c r="S152" s="7">
        <f>ROUND(S151+Q152,5)</f>
        <v>-829.93</v>
      </c>
    </row>
    <row r="153" spans="1:19" ht="15.75" thickBot="1" x14ac:dyDescent="0.3">
      <c r="A153" s="5"/>
      <c r="B153" s="5"/>
      <c r="C153" s="5"/>
      <c r="D153" s="5"/>
      <c r="E153" s="5" t="s">
        <v>158</v>
      </c>
      <c r="F153" s="5"/>
      <c r="G153" s="6">
        <v>46081</v>
      </c>
      <c r="H153" s="5"/>
      <c r="I153" s="5"/>
      <c r="J153" s="5"/>
      <c r="K153" s="5"/>
      <c r="L153" s="5"/>
      <c r="M153" s="5" t="s">
        <v>214</v>
      </c>
      <c r="N153" s="5"/>
      <c r="O153" s="5" t="s">
        <v>8</v>
      </c>
      <c r="P153" s="5"/>
      <c r="Q153" s="8">
        <v>-10.97</v>
      </c>
      <c r="R153" s="5"/>
      <c r="S153" s="8">
        <f>ROUND(S152+Q153,5)</f>
        <v>-840.9</v>
      </c>
    </row>
    <row r="154" spans="1:19" x14ac:dyDescent="0.25">
      <c r="A154" s="5"/>
      <c r="B154" s="5" t="s">
        <v>85</v>
      </c>
      <c r="C154" s="5"/>
      <c r="D154" s="5"/>
      <c r="E154" s="5"/>
      <c r="F154" s="5"/>
      <c r="G154" s="6"/>
      <c r="H154" s="5"/>
      <c r="I154" s="5"/>
      <c r="J154" s="5"/>
      <c r="K154" s="5"/>
      <c r="L154" s="5"/>
      <c r="M154" s="5"/>
      <c r="N154" s="5"/>
      <c r="O154" s="5"/>
      <c r="P154" s="5"/>
      <c r="Q154" s="7">
        <f>ROUND(SUM(Q150:Q153),5)</f>
        <v>-840.9</v>
      </c>
      <c r="R154" s="5"/>
      <c r="S154" s="7">
        <f>S153</f>
        <v>-840.9</v>
      </c>
    </row>
    <row r="155" spans="1:19" x14ac:dyDescent="0.25">
      <c r="A155" s="2"/>
      <c r="B155" s="2" t="s">
        <v>86</v>
      </c>
      <c r="C155" s="2"/>
      <c r="D155" s="2"/>
      <c r="E155" s="2"/>
      <c r="F155" s="2"/>
      <c r="G155" s="4"/>
      <c r="H155" s="2"/>
      <c r="I155" s="2"/>
      <c r="J155" s="2"/>
      <c r="K155" s="2"/>
      <c r="L155" s="2"/>
      <c r="M155" s="2"/>
      <c r="N155" s="2"/>
      <c r="O155" s="2"/>
      <c r="P155" s="2"/>
      <c r="Q155" s="3"/>
      <c r="R155" s="2"/>
      <c r="S155" s="3">
        <v>0</v>
      </c>
    </row>
    <row r="156" spans="1:19" x14ac:dyDescent="0.25">
      <c r="A156" s="5"/>
      <c r="B156" s="5" t="s">
        <v>87</v>
      </c>
      <c r="C156" s="5"/>
      <c r="D156" s="5"/>
      <c r="E156" s="5"/>
      <c r="F156" s="5"/>
      <c r="G156" s="6"/>
      <c r="H156" s="5"/>
      <c r="I156" s="5"/>
      <c r="J156" s="5"/>
      <c r="K156" s="5"/>
      <c r="L156" s="5"/>
      <c r="M156" s="5"/>
      <c r="N156" s="5"/>
      <c r="O156" s="5"/>
      <c r="P156" s="5"/>
      <c r="Q156" s="7"/>
      <c r="R156" s="5"/>
      <c r="S156" s="7">
        <f>S155</f>
        <v>0</v>
      </c>
    </row>
    <row r="157" spans="1:19" x14ac:dyDescent="0.25">
      <c r="A157" s="2"/>
      <c r="B157" s="2" t="s">
        <v>88</v>
      </c>
      <c r="C157" s="2"/>
      <c r="D157" s="2"/>
      <c r="E157" s="2"/>
      <c r="F157" s="2"/>
      <c r="G157" s="4"/>
      <c r="H157" s="2"/>
      <c r="I157" s="2"/>
      <c r="J157" s="2"/>
      <c r="K157" s="2"/>
      <c r="L157" s="2"/>
      <c r="M157" s="2"/>
      <c r="N157" s="2"/>
      <c r="O157" s="2"/>
      <c r="P157" s="2"/>
      <c r="Q157" s="3"/>
      <c r="R157" s="2"/>
      <c r="S157" s="3">
        <v>0</v>
      </c>
    </row>
    <row r="158" spans="1:19" x14ac:dyDescent="0.25">
      <c r="A158" s="5"/>
      <c r="B158" s="5" t="s">
        <v>89</v>
      </c>
      <c r="C158" s="5"/>
      <c r="D158" s="5"/>
      <c r="E158" s="5"/>
      <c r="F158" s="5"/>
      <c r="G158" s="6"/>
      <c r="H158" s="5"/>
      <c r="I158" s="5"/>
      <c r="J158" s="5"/>
      <c r="K158" s="5"/>
      <c r="L158" s="5"/>
      <c r="M158" s="5"/>
      <c r="N158" s="5"/>
      <c r="O158" s="5"/>
      <c r="P158" s="5"/>
      <c r="Q158" s="7"/>
      <c r="R158" s="5"/>
      <c r="S158" s="7">
        <f>S157</f>
        <v>0</v>
      </c>
    </row>
    <row r="159" spans="1:19" x14ac:dyDescent="0.25">
      <c r="A159" s="2"/>
      <c r="B159" s="2" t="s">
        <v>90</v>
      </c>
      <c r="C159" s="2"/>
      <c r="D159" s="2"/>
      <c r="E159" s="2"/>
      <c r="F159" s="2"/>
      <c r="G159" s="4"/>
      <c r="H159" s="2"/>
      <c r="I159" s="2"/>
      <c r="J159" s="2"/>
      <c r="K159" s="2"/>
      <c r="L159" s="2"/>
      <c r="M159" s="2"/>
      <c r="N159" s="2"/>
      <c r="O159" s="2"/>
      <c r="P159" s="2"/>
      <c r="Q159" s="3"/>
      <c r="R159" s="2"/>
      <c r="S159" s="3">
        <v>0</v>
      </c>
    </row>
    <row r="160" spans="1:19" x14ac:dyDescent="0.25">
      <c r="A160" s="5"/>
      <c r="B160" s="5" t="s">
        <v>91</v>
      </c>
      <c r="C160" s="5"/>
      <c r="D160" s="5"/>
      <c r="E160" s="5"/>
      <c r="F160" s="5"/>
      <c r="G160" s="6"/>
      <c r="H160" s="5"/>
      <c r="I160" s="5"/>
      <c r="J160" s="5"/>
      <c r="K160" s="5"/>
      <c r="L160" s="5"/>
      <c r="M160" s="5"/>
      <c r="N160" s="5"/>
      <c r="O160" s="5"/>
      <c r="P160" s="5"/>
      <c r="Q160" s="7"/>
      <c r="R160" s="5"/>
      <c r="S160" s="7">
        <f>S159</f>
        <v>0</v>
      </c>
    </row>
    <row r="161" spans="1:19" x14ac:dyDescent="0.25">
      <c r="A161" s="2"/>
      <c r="B161" s="2" t="s">
        <v>92</v>
      </c>
      <c r="C161" s="2"/>
      <c r="D161" s="2"/>
      <c r="E161" s="2"/>
      <c r="F161" s="2"/>
      <c r="G161" s="4"/>
      <c r="H161" s="2"/>
      <c r="I161" s="2"/>
      <c r="J161" s="2"/>
      <c r="K161" s="2"/>
      <c r="L161" s="2"/>
      <c r="M161" s="2"/>
      <c r="N161" s="2"/>
      <c r="O161" s="2"/>
      <c r="P161" s="2"/>
      <c r="Q161" s="3"/>
      <c r="R161" s="2"/>
      <c r="S161" s="3">
        <v>0</v>
      </c>
    </row>
    <row r="162" spans="1:19" x14ac:dyDescent="0.25">
      <c r="A162" s="5"/>
      <c r="B162" s="5"/>
      <c r="C162" s="5"/>
      <c r="D162" s="5"/>
      <c r="E162" s="5" t="s">
        <v>158</v>
      </c>
      <c r="F162" s="5"/>
      <c r="G162" s="6">
        <v>46042</v>
      </c>
      <c r="H162" s="5"/>
      <c r="I162" s="5"/>
      <c r="J162" s="5"/>
      <c r="K162" s="5" t="s">
        <v>210</v>
      </c>
      <c r="L162" s="5"/>
      <c r="M162" s="5" t="s">
        <v>223</v>
      </c>
      <c r="N162" s="5"/>
      <c r="O162" s="5" t="s">
        <v>8</v>
      </c>
      <c r="P162" s="5"/>
      <c r="Q162" s="7">
        <v>-731137.02</v>
      </c>
      <c r="R162" s="5"/>
      <c r="S162" s="7">
        <f>ROUND(S161+Q162,5)</f>
        <v>-731137.02</v>
      </c>
    </row>
    <row r="163" spans="1:19" x14ac:dyDescent="0.25">
      <c r="A163" s="5"/>
      <c r="B163" s="5"/>
      <c r="C163" s="5"/>
      <c r="D163" s="5"/>
      <c r="E163" s="5" t="s">
        <v>158</v>
      </c>
      <c r="F163" s="5"/>
      <c r="G163" s="6">
        <v>46083</v>
      </c>
      <c r="H163" s="5"/>
      <c r="I163" s="5"/>
      <c r="J163" s="5"/>
      <c r="K163" s="5" t="s">
        <v>210</v>
      </c>
      <c r="L163" s="5"/>
      <c r="M163" s="5" t="s">
        <v>224</v>
      </c>
      <c r="N163" s="5"/>
      <c r="O163" s="5" t="s">
        <v>8</v>
      </c>
      <c r="P163" s="5"/>
      <c r="Q163" s="7">
        <v>-507772.03</v>
      </c>
      <c r="R163" s="5"/>
      <c r="S163" s="7">
        <f>ROUND(S162+Q163,5)</f>
        <v>-1238909.05</v>
      </c>
    </row>
    <row r="164" spans="1:19" ht="15.75" thickBot="1" x14ac:dyDescent="0.3">
      <c r="A164" s="5"/>
      <c r="B164" s="5"/>
      <c r="C164" s="5"/>
      <c r="D164" s="5"/>
      <c r="E164" s="5" t="s">
        <v>158</v>
      </c>
      <c r="F164" s="5"/>
      <c r="G164" s="6">
        <v>46100</v>
      </c>
      <c r="H164" s="5"/>
      <c r="I164" s="5"/>
      <c r="J164" s="5"/>
      <c r="K164" s="5" t="s">
        <v>210</v>
      </c>
      <c r="L164" s="5"/>
      <c r="M164" s="5" t="s">
        <v>225</v>
      </c>
      <c r="N164" s="5"/>
      <c r="O164" s="5" t="s">
        <v>8</v>
      </c>
      <c r="P164" s="5"/>
      <c r="Q164" s="8">
        <v>-681273.03</v>
      </c>
      <c r="R164" s="5"/>
      <c r="S164" s="8">
        <f>ROUND(S163+Q164,5)</f>
        <v>-1920182.08</v>
      </c>
    </row>
    <row r="165" spans="1:19" x14ac:dyDescent="0.25">
      <c r="A165" s="5"/>
      <c r="B165" s="5" t="s">
        <v>93</v>
      </c>
      <c r="C165" s="5"/>
      <c r="D165" s="5"/>
      <c r="E165" s="5"/>
      <c r="F165" s="5"/>
      <c r="G165" s="6"/>
      <c r="H165" s="5"/>
      <c r="I165" s="5"/>
      <c r="J165" s="5"/>
      <c r="K165" s="5"/>
      <c r="L165" s="5"/>
      <c r="M165" s="5"/>
      <c r="N165" s="5"/>
      <c r="O165" s="5"/>
      <c r="P165" s="5"/>
      <c r="Q165" s="7">
        <f>ROUND(SUM(Q161:Q164),5)</f>
        <v>-1920182.08</v>
      </c>
      <c r="R165" s="5"/>
      <c r="S165" s="7">
        <f>S164</f>
        <v>-1920182.08</v>
      </c>
    </row>
    <row r="166" spans="1:19" x14ac:dyDescent="0.25">
      <c r="A166" s="2"/>
      <c r="B166" s="2" t="s">
        <v>94</v>
      </c>
      <c r="C166" s="2"/>
      <c r="D166" s="2"/>
      <c r="E166" s="2"/>
      <c r="F166" s="2"/>
      <c r="G166" s="4"/>
      <c r="H166" s="2"/>
      <c r="I166" s="2"/>
      <c r="J166" s="2"/>
      <c r="K166" s="2"/>
      <c r="L166" s="2"/>
      <c r="M166" s="2"/>
      <c r="N166" s="2"/>
      <c r="O166" s="2"/>
      <c r="P166" s="2"/>
      <c r="Q166" s="3"/>
      <c r="R166" s="2"/>
      <c r="S166" s="3">
        <v>0</v>
      </c>
    </row>
    <row r="167" spans="1:19" x14ac:dyDescent="0.25">
      <c r="A167" s="5"/>
      <c r="B167" s="5" t="s">
        <v>95</v>
      </c>
      <c r="C167" s="5"/>
      <c r="D167" s="5"/>
      <c r="E167" s="5"/>
      <c r="F167" s="5"/>
      <c r="G167" s="6"/>
      <c r="H167" s="5"/>
      <c r="I167" s="5"/>
      <c r="J167" s="5"/>
      <c r="K167" s="5"/>
      <c r="L167" s="5"/>
      <c r="M167" s="5"/>
      <c r="N167" s="5"/>
      <c r="O167" s="5"/>
      <c r="P167" s="5"/>
      <c r="Q167" s="7"/>
      <c r="R167" s="5"/>
      <c r="S167" s="7">
        <f>S166</f>
        <v>0</v>
      </c>
    </row>
    <row r="168" spans="1:19" x14ac:dyDescent="0.25">
      <c r="A168" s="2"/>
      <c r="B168" s="2" t="s">
        <v>96</v>
      </c>
      <c r="C168" s="2"/>
      <c r="D168" s="2"/>
      <c r="E168" s="2"/>
      <c r="F168" s="2"/>
      <c r="G168" s="4"/>
      <c r="H168" s="2"/>
      <c r="I168" s="2"/>
      <c r="J168" s="2"/>
      <c r="K168" s="2"/>
      <c r="L168" s="2"/>
      <c r="M168" s="2"/>
      <c r="N168" s="2"/>
      <c r="O168" s="2"/>
      <c r="P168" s="2"/>
      <c r="Q168" s="3"/>
      <c r="R168" s="2"/>
      <c r="S168" s="3">
        <v>0</v>
      </c>
    </row>
    <row r="169" spans="1:19" x14ac:dyDescent="0.25">
      <c r="A169" s="5"/>
      <c r="B169" s="5" t="s">
        <v>97</v>
      </c>
      <c r="C169" s="5"/>
      <c r="D169" s="5"/>
      <c r="E169" s="5"/>
      <c r="F169" s="5"/>
      <c r="G169" s="6"/>
      <c r="H169" s="5"/>
      <c r="I169" s="5"/>
      <c r="J169" s="5"/>
      <c r="K169" s="5"/>
      <c r="L169" s="5"/>
      <c r="M169" s="5"/>
      <c r="N169" s="5"/>
      <c r="O169" s="5"/>
      <c r="P169" s="5"/>
      <c r="Q169" s="7"/>
      <c r="R169" s="5"/>
      <c r="S169" s="7">
        <f>S168</f>
        <v>0</v>
      </c>
    </row>
    <row r="170" spans="1:19" x14ac:dyDescent="0.25">
      <c r="A170" s="2"/>
      <c r="B170" s="2" t="s">
        <v>98</v>
      </c>
      <c r="C170" s="2"/>
      <c r="D170" s="2"/>
      <c r="E170" s="2"/>
      <c r="F170" s="2"/>
      <c r="G170" s="4"/>
      <c r="H170" s="2"/>
      <c r="I170" s="2"/>
      <c r="J170" s="2"/>
      <c r="K170" s="2"/>
      <c r="L170" s="2"/>
      <c r="M170" s="2"/>
      <c r="N170" s="2"/>
      <c r="O170" s="2"/>
      <c r="P170" s="2"/>
      <c r="Q170" s="3"/>
      <c r="R170" s="2"/>
      <c r="S170" s="3">
        <v>0</v>
      </c>
    </row>
    <row r="171" spans="1:19" x14ac:dyDescent="0.25">
      <c r="A171" s="5"/>
      <c r="B171" s="5" t="s">
        <v>99</v>
      </c>
      <c r="C171" s="5"/>
      <c r="D171" s="5"/>
      <c r="E171" s="5"/>
      <c r="F171" s="5"/>
      <c r="G171" s="6"/>
      <c r="H171" s="5"/>
      <c r="I171" s="5"/>
      <c r="J171" s="5"/>
      <c r="K171" s="5"/>
      <c r="L171" s="5"/>
      <c r="M171" s="5"/>
      <c r="N171" s="5"/>
      <c r="O171" s="5"/>
      <c r="P171" s="5"/>
      <c r="Q171" s="7"/>
      <c r="R171" s="5"/>
      <c r="S171" s="7">
        <f>S170</f>
        <v>0</v>
      </c>
    </row>
    <row r="172" spans="1:19" x14ac:dyDescent="0.25">
      <c r="A172" s="2"/>
      <c r="B172" s="2" t="s">
        <v>100</v>
      </c>
      <c r="C172" s="2"/>
      <c r="D172" s="2"/>
      <c r="E172" s="2"/>
      <c r="F172" s="2"/>
      <c r="G172" s="4"/>
      <c r="H172" s="2"/>
      <c r="I172" s="2"/>
      <c r="J172" s="2"/>
      <c r="K172" s="2"/>
      <c r="L172" s="2"/>
      <c r="M172" s="2"/>
      <c r="N172" s="2"/>
      <c r="O172" s="2"/>
      <c r="P172" s="2"/>
      <c r="Q172" s="3"/>
      <c r="R172" s="2"/>
      <c r="S172" s="3">
        <v>0</v>
      </c>
    </row>
    <row r="173" spans="1:19" x14ac:dyDescent="0.25">
      <c r="A173" s="5"/>
      <c r="B173" s="5" t="s">
        <v>101</v>
      </c>
      <c r="C173" s="5"/>
      <c r="D173" s="5"/>
      <c r="E173" s="5"/>
      <c r="F173" s="5"/>
      <c r="G173" s="6"/>
      <c r="H173" s="5"/>
      <c r="I173" s="5"/>
      <c r="J173" s="5"/>
      <c r="K173" s="5"/>
      <c r="L173" s="5"/>
      <c r="M173" s="5"/>
      <c r="N173" s="5"/>
      <c r="O173" s="5"/>
      <c r="P173" s="5"/>
      <c r="Q173" s="7"/>
      <c r="R173" s="5"/>
      <c r="S173" s="7">
        <f>S172</f>
        <v>0</v>
      </c>
    </row>
    <row r="174" spans="1:19" x14ac:dyDescent="0.25">
      <c r="A174" s="2"/>
      <c r="B174" s="2" t="s">
        <v>102</v>
      </c>
      <c r="C174" s="2"/>
      <c r="D174" s="2"/>
      <c r="E174" s="2"/>
      <c r="F174" s="2"/>
      <c r="G174" s="4"/>
      <c r="H174" s="2"/>
      <c r="I174" s="2"/>
      <c r="J174" s="2"/>
      <c r="K174" s="2"/>
      <c r="L174" s="2"/>
      <c r="M174" s="2"/>
      <c r="N174" s="2"/>
      <c r="O174" s="2"/>
      <c r="P174" s="2"/>
      <c r="Q174" s="3"/>
      <c r="R174" s="2"/>
      <c r="S174" s="3">
        <v>0</v>
      </c>
    </row>
    <row r="175" spans="1:19" x14ac:dyDescent="0.25">
      <c r="A175" s="5"/>
      <c r="B175" s="5"/>
      <c r="C175" s="5"/>
      <c r="D175" s="5"/>
      <c r="E175" s="5" t="s">
        <v>159</v>
      </c>
      <c r="F175" s="5"/>
      <c r="G175" s="6">
        <v>46043</v>
      </c>
      <c r="H175" s="5"/>
      <c r="I175" s="5" t="s">
        <v>173</v>
      </c>
      <c r="J175" s="5"/>
      <c r="K175" s="5"/>
      <c r="L175" s="5"/>
      <c r="M175" s="5" t="s">
        <v>213</v>
      </c>
      <c r="N175" s="5"/>
      <c r="O175" s="5" t="s">
        <v>8</v>
      </c>
      <c r="P175" s="5"/>
      <c r="Q175" s="7">
        <v>15</v>
      </c>
      <c r="R175" s="5"/>
      <c r="S175" s="7">
        <f>ROUND(S174+Q175,5)</f>
        <v>15</v>
      </c>
    </row>
    <row r="176" spans="1:19" x14ac:dyDescent="0.25">
      <c r="A176" s="5"/>
      <c r="B176" s="5"/>
      <c r="C176" s="5"/>
      <c r="D176" s="5"/>
      <c r="E176" s="5" t="s">
        <v>157</v>
      </c>
      <c r="F176" s="5"/>
      <c r="G176" s="6">
        <v>46081</v>
      </c>
      <c r="H176" s="5"/>
      <c r="I176" s="5"/>
      <c r="J176" s="5"/>
      <c r="K176" s="5"/>
      <c r="L176" s="5"/>
      <c r="M176" s="5" t="s">
        <v>217</v>
      </c>
      <c r="N176" s="5"/>
      <c r="O176" s="5" t="s">
        <v>8</v>
      </c>
      <c r="P176" s="5"/>
      <c r="Q176" s="7">
        <v>7.2</v>
      </c>
      <c r="R176" s="5"/>
      <c r="S176" s="7">
        <f>ROUND(S175+Q176,5)</f>
        <v>22.2</v>
      </c>
    </row>
    <row r="177" spans="1:19" x14ac:dyDescent="0.25">
      <c r="A177" s="5"/>
      <c r="B177" s="5"/>
      <c r="C177" s="5"/>
      <c r="D177" s="5"/>
      <c r="E177" s="5" t="s">
        <v>157</v>
      </c>
      <c r="F177" s="5"/>
      <c r="G177" s="6">
        <v>46081</v>
      </c>
      <c r="H177" s="5"/>
      <c r="I177" s="5"/>
      <c r="J177" s="5"/>
      <c r="K177" s="5"/>
      <c r="L177" s="5"/>
      <c r="M177" s="5" t="s">
        <v>217</v>
      </c>
      <c r="N177" s="5"/>
      <c r="O177" s="5" t="s">
        <v>8</v>
      </c>
      <c r="P177" s="5"/>
      <c r="Q177" s="7">
        <v>7.2</v>
      </c>
      <c r="R177" s="5"/>
      <c r="S177" s="7">
        <f>ROUND(S176+Q177,5)</f>
        <v>29.4</v>
      </c>
    </row>
    <row r="178" spans="1:19" x14ac:dyDescent="0.25">
      <c r="A178" s="5"/>
      <c r="B178" s="5"/>
      <c r="C178" s="5"/>
      <c r="D178" s="5"/>
      <c r="E178" s="5" t="s">
        <v>159</v>
      </c>
      <c r="F178" s="5"/>
      <c r="G178" s="6">
        <v>46085</v>
      </c>
      <c r="H178" s="5"/>
      <c r="I178" s="5" t="s">
        <v>173</v>
      </c>
      <c r="J178" s="5"/>
      <c r="K178" s="5"/>
      <c r="L178" s="5"/>
      <c r="M178" s="5" t="s">
        <v>213</v>
      </c>
      <c r="N178" s="5"/>
      <c r="O178" s="5" t="s">
        <v>8</v>
      </c>
      <c r="P178" s="5"/>
      <c r="Q178" s="7">
        <v>15</v>
      </c>
      <c r="R178" s="5"/>
      <c r="S178" s="7">
        <f>ROUND(S177+Q178,5)</f>
        <v>44.4</v>
      </c>
    </row>
    <row r="179" spans="1:19" x14ac:dyDescent="0.25">
      <c r="A179" s="5"/>
      <c r="B179" s="5"/>
      <c r="C179" s="5"/>
      <c r="D179" s="5"/>
      <c r="E179" s="5" t="s">
        <v>159</v>
      </c>
      <c r="F179" s="5"/>
      <c r="G179" s="6">
        <v>46094</v>
      </c>
      <c r="H179" s="5"/>
      <c r="I179" s="5" t="s">
        <v>173</v>
      </c>
      <c r="J179" s="5"/>
      <c r="K179" s="5"/>
      <c r="L179" s="5"/>
      <c r="M179" s="5" t="s">
        <v>218</v>
      </c>
      <c r="N179" s="5"/>
      <c r="O179" s="5" t="s">
        <v>8</v>
      </c>
      <c r="P179" s="5"/>
      <c r="Q179" s="7">
        <v>-7.2</v>
      </c>
      <c r="R179" s="5"/>
      <c r="S179" s="7">
        <f>ROUND(S178+Q179,5)</f>
        <v>37.200000000000003</v>
      </c>
    </row>
    <row r="180" spans="1:19" ht="15.75" thickBot="1" x14ac:dyDescent="0.3">
      <c r="A180" s="5"/>
      <c r="B180" s="5"/>
      <c r="C180" s="5"/>
      <c r="D180" s="5"/>
      <c r="E180" s="5" t="s">
        <v>159</v>
      </c>
      <c r="F180" s="5"/>
      <c r="G180" s="6">
        <v>46100</v>
      </c>
      <c r="H180" s="5"/>
      <c r="I180" s="5" t="s">
        <v>173</v>
      </c>
      <c r="J180" s="5"/>
      <c r="K180" s="5"/>
      <c r="L180" s="5"/>
      <c r="M180" s="5" t="s">
        <v>213</v>
      </c>
      <c r="N180" s="5"/>
      <c r="O180" s="5" t="s">
        <v>8</v>
      </c>
      <c r="P180" s="5"/>
      <c r="Q180" s="8">
        <v>15</v>
      </c>
      <c r="R180" s="5"/>
      <c r="S180" s="8">
        <f>ROUND(S179+Q180,5)</f>
        <v>52.2</v>
      </c>
    </row>
    <row r="181" spans="1:19" x14ac:dyDescent="0.25">
      <c r="A181" s="5"/>
      <c r="B181" s="5" t="s">
        <v>103</v>
      </c>
      <c r="C181" s="5"/>
      <c r="D181" s="5"/>
      <c r="E181" s="5"/>
      <c r="F181" s="5"/>
      <c r="G181" s="6"/>
      <c r="H181" s="5"/>
      <c r="I181" s="5"/>
      <c r="J181" s="5"/>
      <c r="K181" s="5"/>
      <c r="L181" s="5"/>
      <c r="M181" s="5"/>
      <c r="N181" s="5"/>
      <c r="O181" s="5"/>
      <c r="P181" s="5"/>
      <c r="Q181" s="7">
        <f>ROUND(SUM(Q174:Q180),5)</f>
        <v>52.2</v>
      </c>
      <c r="R181" s="5"/>
      <c r="S181" s="7">
        <f>S180</f>
        <v>52.2</v>
      </c>
    </row>
    <row r="182" spans="1:19" x14ac:dyDescent="0.25">
      <c r="A182" s="2"/>
      <c r="B182" s="2" t="s">
        <v>104</v>
      </c>
      <c r="C182" s="2"/>
      <c r="D182" s="2"/>
      <c r="E182" s="2"/>
      <c r="F182" s="2"/>
      <c r="G182" s="4"/>
      <c r="H182" s="2"/>
      <c r="I182" s="2"/>
      <c r="J182" s="2"/>
      <c r="K182" s="2"/>
      <c r="L182" s="2"/>
      <c r="M182" s="2"/>
      <c r="N182" s="2"/>
      <c r="O182" s="2"/>
      <c r="P182" s="2"/>
      <c r="Q182" s="3"/>
      <c r="R182" s="2"/>
      <c r="S182" s="3">
        <v>0</v>
      </c>
    </row>
    <row r="183" spans="1:19" x14ac:dyDescent="0.25">
      <c r="A183" s="5"/>
      <c r="B183" s="5" t="s">
        <v>105</v>
      </c>
      <c r="C183" s="5"/>
      <c r="D183" s="5"/>
      <c r="E183" s="5"/>
      <c r="F183" s="5"/>
      <c r="G183" s="6"/>
      <c r="H183" s="5"/>
      <c r="I183" s="5"/>
      <c r="J183" s="5"/>
      <c r="K183" s="5"/>
      <c r="L183" s="5"/>
      <c r="M183" s="5"/>
      <c r="N183" s="5"/>
      <c r="O183" s="5"/>
      <c r="P183" s="5"/>
      <c r="Q183" s="7"/>
      <c r="R183" s="5"/>
      <c r="S183" s="7">
        <f>S182</f>
        <v>0</v>
      </c>
    </row>
    <row r="184" spans="1:19" x14ac:dyDescent="0.25">
      <c r="A184" s="2"/>
      <c r="B184" s="2" t="s">
        <v>106</v>
      </c>
      <c r="C184" s="2"/>
      <c r="D184" s="2"/>
      <c r="E184" s="2"/>
      <c r="F184" s="2"/>
      <c r="G184" s="4"/>
      <c r="H184" s="2"/>
      <c r="I184" s="2"/>
      <c r="J184" s="2"/>
      <c r="K184" s="2"/>
      <c r="L184" s="2"/>
      <c r="M184" s="2"/>
      <c r="N184" s="2"/>
      <c r="O184" s="2"/>
      <c r="P184" s="2"/>
      <c r="Q184" s="3"/>
      <c r="R184" s="2"/>
      <c r="S184" s="3">
        <v>0</v>
      </c>
    </row>
    <row r="185" spans="1:19" x14ac:dyDescent="0.25">
      <c r="A185" s="5"/>
      <c r="B185" s="5"/>
      <c r="C185" s="5"/>
      <c r="D185" s="5"/>
      <c r="E185" s="5" t="s">
        <v>157</v>
      </c>
      <c r="F185" s="5"/>
      <c r="G185" s="6">
        <v>46027</v>
      </c>
      <c r="H185" s="5"/>
      <c r="I185" s="5" t="s">
        <v>162</v>
      </c>
      <c r="J185" s="5"/>
      <c r="K185" s="5" t="s">
        <v>201</v>
      </c>
      <c r="L185" s="5"/>
      <c r="M185" s="5" t="s">
        <v>226</v>
      </c>
      <c r="N185" s="5"/>
      <c r="O185" s="5" t="s">
        <v>8</v>
      </c>
      <c r="P185" s="5"/>
      <c r="Q185" s="7">
        <v>52</v>
      </c>
      <c r="R185" s="5"/>
      <c r="S185" s="7">
        <f>ROUND(S184+Q185,5)</f>
        <v>52</v>
      </c>
    </row>
    <row r="186" spans="1:19" x14ac:dyDescent="0.25">
      <c r="A186" s="5"/>
      <c r="B186" s="5"/>
      <c r="C186" s="5"/>
      <c r="D186" s="5"/>
      <c r="E186" s="5" t="s">
        <v>157</v>
      </c>
      <c r="F186" s="5"/>
      <c r="G186" s="6">
        <v>46087</v>
      </c>
      <c r="H186" s="5"/>
      <c r="I186" s="5" t="s">
        <v>186</v>
      </c>
      <c r="J186" s="5"/>
      <c r="K186" s="5" t="s">
        <v>201</v>
      </c>
      <c r="L186" s="5"/>
      <c r="M186" s="5" t="s">
        <v>226</v>
      </c>
      <c r="N186" s="5"/>
      <c r="O186" s="5" t="s">
        <v>8</v>
      </c>
      <c r="P186" s="5"/>
      <c r="Q186" s="7">
        <v>52</v>
      </c>
      <c r="R186" s="5"/>
      <c r="S186" s="7">
        <f>ROUND(S185+Q186,5)</f>
        <v>104</v>
      </c>
    </row>
    <row r="187" spans="1:19" ht="15.75" thickBot="1" x14ac:dyDescent="0.3">
      <c r="A187" s="5"/>
      <c r="B187" s="5"/>
      <c r="C187" s="5"/>
      <c r="D187" s="5"/>
      <c r="E187" s="5" t="s">
        <v>157</v>
      </c>
      <c r="F187" s="5"/>
      <c r="G187" s="6">
        <v>46122</v>
      </c>
      <c r="H187" s="5"/>
      <c r="I187" s="5" t="s">
        <v>193</v>
      </c>
      <c r="J187" s="5"/>
      <c r="K187" s="5" t="s">
        <v>201</v>
      </c>
      <c r="L187" s="5"/>
      <c r="M187" s="5" t="s">
        <v>226</v>
      </c>
      <c r="N187" s="5"/>
      <c r="O187" s="5" t="s">
        <v>8</v>
      </c>
      <c r="P187" s="5"/>
      <c r="Q187" s="8">
        <v>52</v>
      </c>
      <c r="R187" s="5"/>
      <c r="S187" s="8">
        <f>ROUND(S186+Q187,5)</f>
        <v>156</v>
      </c>
    </row>
    <row r="188" spans="1:19" x14ac:dyDescent="0.25">
      <c r="A188" s="5"/>
      <c r="B188" s="5" t="s">
        <v>107</v>
      </c>
      <c r="C188" s="5"/>
      <c r="D188" s="5"/>
      <c r="E188" s="5"/>
      <c r="F188" s="5"/>
      <c r="G188" s="6"/>
      <c r="H188" s="5"/>
      <c r="I188" s="5"/>
      <c r="J188" s="5"/>
      <c r="K188" s="5"/>
      <c r="L188" s="5"/>
      <c r="M188" s="5"/>
      <c r="N188" s="5"/>
      <c r="O188" s="5"/>
      <c r="P188" s="5"/>
      <c r="Q188" s="7">
        <f>ROUND(SUM(Q184:Q187),5)</f>
        <v>156</v>
      </c>
      <c r="R188" s="5"/>
      <c r="S188" s="7">
        <f>S187</f>
        <v>156</v>
      </c>
    </row>
    <row r="189" spans="1:19" x14ac:dyDescent="0.25">
      <c r="A189" s="2"/>
      <c r="B189" s="2" t="s">
        <v>108</v>
      </c>
      <c r="C189" s="2"/>
      <c r="D189" s="2"/>
      <c r="E189" s="2"/>
      <c r="F189" s="2"/>
      <c r="G189" s="4"/>
      <c r="H189" s="2"/>
      <c r="I189" s="2"/>
      <c r="J189" s="2"/>
      <c r="K189" s="2"/>
      <c r="L189" s="2"/>
      <c r="M189" s="2"/>
      <c r="N189" s="2"/>
      <c r="O189" s="2"/>
      <c r="P189" s="2"/>
      <c r="Q189" s="3"/>
      <c r="R189" s="2"/>
      <c r="S189" s="3">
        <v>0</v>
      </c>
    </row>
    <row r="190" spans="1:19" ht="15.75" thickBot="1" x14ac:dyDescent="0.3">
      <c r="A190" s="1"/>
      <c r="B190" s="1"/>
      <c r="C190" s="5"/>
      <c r="D190" s="5"/>
      <c r="E190" s="5" t="s">
        <v>157</v>
      </c>
      <c r="F190" s="5"/>
      <c r="G190" s="6">
        <v>46029</v>
      </c>
      <c r="H190" s="5"/>
      <c r="I190" s="5" t="s">
        <v>166</v>
      </c>
      <c r="J190" s="5"/>
      <c r="K190" s="5" t="s">
        <v>205</v>
      </c>
      <c r="L190" s="5"/>
      <c r="M190" s="5" t="s">
        <v>227</v>
      </c>
      <c r="N190" s="5"/>
      <c r="O190" s="5" t="s">
        <v>8</v>
      </c>
      <c r="P190" s="5"/>
      <c r="Q190" s="8">
        <v>350</v>
      </c>
      <c r="R190" s="5"/>
      <c r="S190" s="8">
        <f>ROUND(S189+Q190,5)</f>
        <v>350</v>
      </c>
    </row>
    <row r="191" spans="1:19" x14ac:dyDescent="0.25">
      <c r="A191" s="5"/>
      <c r="B191" s="5" t="s">
        <v>109</v>
      </c>
      <c r="C191" s="5"/>
      <c r="D191" s="5"/>
      <c r="E191" s="5"/>
      <c r="F191" s="5"/>
      <c r="G191" s="6"/>
      <c r="H191" s="5"/>
      <c r="I191" s="5"/>
      <c r="J191" s="5"/>
      <c r="K191" s="5"/>
      <c r="L191" s="5"/>
      <c r="M191" s="5"/>
      <c r="N191" s="5"/>
      <c r="O191" s="5"/>
      <c r="P191" s="5"/>
      <c r="Q191" s="7">
        <f>ROUND(SUM(Q189:Q190),5)</f>
        <v>350</v>
      </c>
      <c r="R191" s="5"/>
      <c r="S191" s="7">
        <f>S190</f>
        <v>350</v>
      </c>
    </row>
    <row r="192" spans="1:19" x14ac:dyDescent="0.25">
      <c r="A192" s="2"/>
      <c r="B192" s="2" t="s">
        <v>110</v>
      </c>
      <c r="C192" s="2"/>
      <c r="D192" s="2"/>
      <c r="E192" s="2"/>
      <c r="F192" s="2"/>
      <c r="G192" s="4"/>
      <c r="H192" s="2"/>
      <c r="I192" s="2"/>
      <c r="J192" s="2"/>
      <c r="K192" s="2"/>
      <c r="L192" s="2"/>
      <c r="M192" s="2"/>
      <c r="N192" s="2"/>
      <c r="O192" s="2"/>
      <c r="P192" s="2"/>
      <c r="Q192" s="3"/>
      <c r="R192" s="2"/>
      <c r="S192" s="3">
        <v>0</v>
      </c>
    </row>
    <row r="193" spans="1:19" x14ac:dyDescent="0.25">
      <c r="A193" s="5"/>
      <c r="B193" s="5"/>
      <c r="C193" s="5"/>
      <c r="D193" s="5"/>
      <c r="E193" s="5" t="s">
        <v>157</v>
      </c>
      <c r="F193" s="5"/>
      <c r="G193" s="6">
        <v>46027</v>
      </c>
      <c r="H193" s="5"/>
      <c r="I193" s="5" t="s">
        <v>163</v>
      </c>
      <c r="J193" s="5"/>
      <c r="K193" s="5" t="s">
        <v>202</v>
      </c>
      <c r="L193" s="5"/>
      <c r="M193" s="5" t="s">
        <v>228</v>
      </c>
      <c r="N193" s="5"/>
      <c r="O193" s="5" t="s">
        <v>8</v>
      </c>
      <c r="P193" s="5"/>
      <c r="Q193" s="7">
        <v>31.2</v>
      </c>
      <c r="R193" s="5"/>
      <c r="S193" s="7">
        <f>ROUND(S192+Q193,5)</f>
        <v>31.2</v>
      </c>
    </row>
    <row r="194" spans="1:19" x14ac:dyDescent="0.25">
      <c r="A194" s="5"/>
      <c r="B194" s="5"/>
      <c r="C194" s="5"/>
      <c r="D194" s="5"/>
      <c r="E194" s="5" t="s">
        <v>157</v>
      </c>
      <c r="F194" s="5"/>
      <c r="G194" s="6">
        <v>46050</v>
      </c>
      <c r="H194" s="5"/>
      <c r="I194" s="5" t="s">
        <v>174</v>
      </c>
      <c r="J194" s="5"/>
      <c r="K194" s="5" t="s">
        <v>202</v>
      </c>
      <c r="L194" s="5"/>
      <c r="M194" s="5" t="s">
        <v>228</v>
      </c>
      <c r="N194" s="5"/>
      <c r="O194" s="5" t="s">
        <v>8</v>
      </c>
      <c r="P194" s="5"/>
      <c r="Q194" s="7">
        <v>31.2</v>
      </c>
      <c r="R194" s="5"/>
      <c r="S194" s="7">
        <f>ROUND(S193+Q194,5)</f>
        <v>62.4</v>
      </c>
    </row>
    <row r="195" spans="1:19" x14ac:dyDescent="0.25">
      <c r="A195" s="5"/>
      <c r="B195" s="5"/>
      <c r="C195" s="5"/>
      <c r="D195" s="5"/>
      <c r="E195" s="5" t="s">
        <v>159</v>
      </c>
      <c r="F195" s="5"/>
      <c r="G195" s="6">
        <v>46070</v>
      </c>
      <c r="H195" s="5"/>
      <c r="I195" s="5" t="s">
        <v>173</v>
      </c>
      <c r="J195" s="5"/>
      <c r="K195" s="5"/>
      <c r="L195" s="5"/>
      <c r="M195" s="5" t="s">
        <v>216</v>
      </c>
      <c r="N195" s="5"/>
      <c r="O195" s="5" t="s">
        <v>8</v>
      </c>
      <c r="P195" s="5"/>
      <c r="Q195" s="7">
        <v>18.3</v>
      </c>
      <c r="R195" s="5"/>
      <c r="S195" s="7">
        <f>ROUND(S194+Q195,5)</f>
        <v>80.7</v>
      </c>
    </row>
    <row r="196" spans="1:19" x14ac:dyDescent="0.25">
      <c r="A196" s="5"/>
      <c r="B196" s="5"/>
      <c r="C196" s="5"/>
      <c r="D196" s="5"/>
      <c r="E196" s="5" t="s">
        <v>157</v>
      </c>
      <c r="F196" s="5"/>
      <c r="G196" s="6">
        <v>46087</v>
      </c>
      <c r="H196" s="5"/>
      <c r="I196" s="5" t="s">
        <v>187</v>
      </c>
      <c r="J196" s="5"/>
      <c r="K196" s="5" t="s">
        <v>202</v>
      </c>
      <c r="L196" s="5"/>
      <c r="M196" s="5" t="s">
        <v>228</v>
      </c>
      <c r="N196" s="5"/>
      <c r="O196" s="5" t="s">
        <v>8</v>
      </c>
      <c r="P196" s="5"/>
      <c r="Q196" s="7">
        <v>31.2</v>
      </c>
      <c r="R196" s="5"/>
      <c r="S196" s="7">
        <f>ROUND(S195+Q196,5)</f>
        <v>111.9</v>
      </c>
    </row>
    <row r="197" spans="1:19" x14ac:dyDescent="0.25">
      <c r="A197" s="5"/>
      <c r="B197" s="5"/>
      <c r="C197" s="5"/>
      <c r="D197" s="5"/>
      <c r="E197" s="5" t="s">
        <v>159</v>
      </c>
      <c r="F197" s="5"/>
      <c r="G197" s="6">
        <v>46097</v>
      </c>
      <c r="H197" s="5"/>
      <c r="I197" s="5" t="s">
        <v>173</v>
      </c>
      <c r="J197" s="5"/>
      <c r="K197" s="5"/>
      <c r="L197" s="5"/>
      <c r="M197" s="5" t="s">
        <v>216</v>
      </c>
      <c r="N197" s="5"/>
      <c r="O197" s="5" t="s">
        <v>8</v>
      </c>
      <c r="P197" s="5"/>
      <c r="Q197" s="7">
        <v>18.329999999999998</v>
      </c>
      <c r="R197" s="5"/>
      <c r="S197" s="7">
        <f>ROUND(S196+Q197,5)</f>
        <v>130.22999999999999</v>
      </c>
    </row>
    <row r="198" spans="1:19" ht="15.75" thickBot="1" x14ac:dyDescent="0.3">
      <c r="A198" s="5"/>
      <c r="B198" s="5"/>
      <c r="C198" s="5"/>
      <c r="D198" s="5"/>
      <c r="E198" s="5" t="s">
        <v>157</v>
      </c>
      <c r="F198" s="5"/>
      <c r="G198" s="6">
        <v>46122</v>
      </c>
      <c r="H198" s="5"/>
      <c r="I198" s="5" t="s">
        <v>194</v>
      </c>
      <c r="J198" s="5"/>
      <c r="K198" s="5" t="s">
        <v>202</v>
      </c>
      <c r="L198" s="5"/>
      <c r="M198" s="5" t="s">
        <v>228</v>
      </c>
      <c r="N198" s="5"/>
      <c r="O198" s="5" t="s">
        <v>8</v>
      </c>
      <c r="P198" s="5"/>
      <c r="Q198" s="8">
        <v>31.2</v>
      </c>
      <c r="R198" s="5"/>
      <c r="S198" s="8">
        <f>ROUND(S197+Q198,5)</f>
        <v>161.43</v>
      </c>
    </row>
    <row r="199" spans="1:19" x14ac:dyDescent="0.25">
      <c r="A199" s="5"/>
      <c r="B199" s="5" t="s">
        <v>111</v>
      </c>
      <c r="C199" s="5"/>
      <c r="D199" s="5"/>
      <c r="E199" s="5"/>
      <c r="F199" s="5"/>
      <c r="G199" s="6"/>
      <c r="H199" s="5"/>
      <c r="I199" s="5"/>
      <c r="J199" s="5"/>
      <c r="K199" s="5"/>
      <c r="L199" s="5"/>
      <c r="M199" s="5"/>
      <c r="N199" s="5"/>
      <c r="O199" s="5"/>
      <c r="P199" s="5"/>
      <c r="Q199" s="7">
        <f>ROUND(SUM(Q192:Q198),5)</f>
        <v>161.43</v>
      </c>
      <c r="R199" s="5"/>
      <c r="S199" s="7">
        <f>S198</f>
        <v>161.43</v>
      </c>
    </row>
    <row r="200" spans="1:19" x14ac:dyDescent="0.25">
      <c r="A200" s="2"/>
      <c r="B200" s="2" t="s">
        <v>112</v>
      </c>
      <c r="C200" s="2"/>
      <c r="D200" s="2"/>
      <c r="E200" s="2"/>
      <c r="F200" s="2"/>
      <c r="G200" s="4"/>
      <c r="H200" s="2"/>
      <c r="I200" s="2"/>
      <c r="J200" s="2"/>
      <c r="K200" s="2"/>
      <c r="L200" s="2"/>
      <c r="M200" s="2"/>
      <c r="N200" s="2"/>
      <c r="O200" s="2"/>
      <c r="P200" s="2"/>
      <c r="Q200" s="3"/>
      <c r="R200" s="2"/>
      <c r="S200" s="3">
        <v>0</v>
      </c>
    </row>
    <row r="201" spans="1:19" x14ac:dyDescent="0.25">
      <c r="A201" s="5"/>
      <c r="B201" s="5" t="s">
        <v>113</v>
      </c>
      <c r="C201" s="5"/>
      <c r="D201" s="5"/>
      <c r="E201" s="5"/>
      <c r="F201" s="5"/>
      <c r="G201" s="6"/>
      <c r="H201" s="5"/>
      <c r="I201" s="5"/>
      <c r="J201" s="5"/>
      <c r="K201" s="5"/>
      <c r="L201" s="5"/>
      <c r="M201" s="5"/>
      <c r="N201" s="5"/>
      <c r="O201" s="5"/>
      <c r="P201" s="5"/>
      <c r="Q201" s="7"/>
      <c r="R201" s="5"/>
      <c r="S201" s="7">
        <f>S200</f>
        <v>0</v>
      </c>
    </row>
    <row r="202" spans="1:19" x14ac:dyDescent="0.25">
      <c r="A202" s="2"/>
      <c r="B202" s="2" t="s">
        <v>114</v>
      </c>
      <c r="C202" s="2"/>
      <c r="D202" s="2"/>
      <c r="E202" s="2"/>
      <c r="F202" s="2"/>
      <c r="G202" s="4"/>
      <c r="H202" s="2"/>
      <c r="I202" s="2"/>
      <c r="J202" s="2"/>
      <c r="K202" s="2"/>
      <c r="L202" s="2"/>
      <c r="M202" s="2"/>
      <c r="N202" s="2"/>
      <c r="O202" s="2"/>
      <c r="P202" s="2"/>
      <c r="Q202" s="3"/>
      <c r="R202" s="2"/>
      <c r="S202" s="3">
        <v>0</v>
      </c>
    </row>
    <row r="203" spans="1:19" x14ac:dyDescent="0.25">
      <c r="A203" s="5"/>
      <c r="B203" s="5"/>
      <c r="C203" s="5"/>
      <c r="D203" s="5"/>
      <c r="E203" s="5" t="s">
        <v>157</v>
      </c>
      <c r="F203" s="5"/>
      <c r="G203" s="6">
        <v>46034</v>
      </c>
      <c r="H203" s="5"/>
      <c r="I203" s="5" t="s">
        <v>168</v>
      </c>
      <c r="J203" s="5"/>
      <c r="K203" s="5" t="s">
        <v>207</v>
      </c>
      <c r="L203" s="5"/>
      <c r="M203" s="5" t="s">
        <v>229</v>
      </c>
      <c r="N203" s="5"/>
      <c r="O203" s="5" t="s">
        <v>8</v>
      </c>
      <c r="P203" s="5"/>
      <c r="Q203" s="7">
        <v>450</v>
      </c>
      <c r="R203" s="5"/>
      <c r="S203" s="7">
        <f>ROUND(S202+Q203,5)</f>
        <v>450</v>
      </c>
    </row>
    <row r="204" spans="1:19" x14ac:dyDescent="0.25">
      <c r="A204" s="5"/>
      <c r="B204" s="5"/>
      <c r="C204" s="5"/>
      <c r="D204" s="5"/>
      <c r="E204" s="5" t="s">
        <v>157</v>
      </c>
      <c r="F204" s="5"/>
      <c r="G204" s="6">
        <v>46042</v>
      </c>
      <c r="H204" s="5"/>
      <c r="I204" s="5" t="s">
        <v>169</v>
      </c>
      <c r="J204" s="5"/>
      <c r="K204" s="5" t="s">
        <v>208</v>
      </c>
      <c r="L204" s="5"/>
      <c r="M204" s="5" t="s">
        <v>230</v>
      </c>
      <c r="N204" s="5"/>
      <c r="O204" s="5" t="s">
        <v>8</v>
      </c>
      <c r="P204" s="5"/>
      <c r="Q204" s="7">
        <v>658580.67000000004</v>
      </c>
      <c r="R204" s="5"/>
      <c r="S204" s="7">
        <f>ROUND(S203+Q204,5)</f>
        <v>659030.67000000004</v>
      </c>
    </row>
    <row r="205" spans="1:19" x14ac:dyDescent="0.25">
      <c r="A205" s="5"/>
      <c r="B205" s="5"/>
      <c r="C205" s="5"/>
      <c r="D205" s="5"/>
      <c r="E205" s="5" t="s">
        <v>157</v>
      </c>
      <c r="F205" s="5"/>
      <c r="G205" s="6">
        <v>46042</v>
      </c>
      <c r="H205" s="5"/>
      <c r="I205" s="5" t="s">
        <v>170</v>
      </c>
      <c r="J205" s="5"/>
      <c r="K205" s="5" t="s">
        <v>207</v>
      </c>
      <c r="L205" s="5"/>
      <c r="M205" s="5" t="s">
        <v>231</v>
      </c>
      <c r="N205" s="5"/>
      <c r="O205" s="5" t="s">
        <v>8</v>
      </c>
      <c r="P205" s="5"/>
      <c r="Q205" s="7">
        <v>49787.3</v>
      </c>
      <c r="R205" s="5"/>
      <c r="S205" s="7">
        <f>ROUND(S204+Q205,5)</f>
        <v>708817.97</v>
      </c>
    </row>
    <row r="206" spans="1:19" x14ac:dyDescent="0.25">
      <c r="A206" s="5"/>
      <c r="B206" s="5"/>
      <c r="C206" s="5"/>
      <c r="D206" s="5"/>
      <c r="E206" s="5" t="s">
        <v>157</v>
      </c>
      <c r="F206" s="5"/>
      <c r="G206" s="6">
        <v>46042</v>
      </c>
      <c r="H206" s="5"/>
      <c r="I206" s="5" t="s">
        <v>171</v>
      </c>
      <c r="J206" s="5"/>
      <c r="K206" s="5" t="s">
        <v>209</v>
      </c>
      <c r="L206" s="5"/>
      <c r="M206" s="5" t="s">
        <v>232</v>
      </c>
      <c r="N206" s="5"/>
      <c r="O206" s="5" t="s">
        <v>8</v>
      </c>
      <c r="P206" s="5"/>
      <c r="Q206" s="7">
        <v>15000</v>
      </c>
      <c r="R206" s="5"/>
      <c r="S206" s="7">
        <f>ROUND(S205+Q206,5)</f>
        <v>723817.97</v>
      </c>
    </row>
    <row r="207" spans="1:19" x14ac:dyDescent="0.25">
      <c r="A207" s="5"/>
      <c r="B207" s="5"/>
      <c r="C207" s="5"/>
      <c r="D207" s="5"/>
      <c r="E207" s="5" t="s">
        <v>157</v>
      </c>
      <c r="F207" s="5"/>
      <c r="G207" s="6">
        <v>46042</v>
      </c>
      <c r="H207" s="5"/>
      <c r="I207" s="5" t="s">
        <v>172</v>
      </c>
      <c r="J207" s="5"/>
      <c r="K207" s="5" t="s">
        <v>210</v>
      </c>
      <c r="L207" s="5"/>
      <c r="M207" s="5" t="s">
        <v>233</v>
      </c>
      <c r="N207" s="5"/>
      <c r="O207" s="5" t="s">
        <v>8</v>
      </c>
      <c r="P207" s="5"/>
      <c r="Q207" s="7">
        <v>7769.05</v>
      </c>
      <c r="R207" s="5"/>
      <c r="S207" s="7">
        <f>ROUND(S206+Q207,5)</f>
        <v>731587.02</v>
      </c>
    </row>
    <row r="208" spans="1:19" x14ac:dyDescent="0.25">
      <c r="A208" s="5"/>
      <c r="B208" s="5"/>
      <c r="C208" s="5"/>
      <c r="D208" s="5"/>
      <c r="E208" s="5" t="s">
        <v>157</v>
      </c>
      <c r="F208" s="5"/>
      <c r="G208" s="6">
        <v>46073</v>
      </c>
      <c r="H208" s="5"/>
      <c r="I208" s="5" t="s">
        <v>180</v>
      </c>
      <c r="J208" s="5"/>
      <c r="K208" s="5" t="s">
        <v>210</v>
      </c>
      <c r="L208" s="5"/>
      <c r="M208" s="5" t="s">
        <v>233</v>
      </c>
      <c r="N208" s="5"/>
      <c r="O208" s="5" t="s">
        <v>8</v>
      </c>
      <c r="P208" s="5"/>
      <c r="Q208" s="7">
        <v>4061</v>
      </c>
      <c r="R208" s="5"/>
      <c r="S208" s="7">
        <f>ROUND(S207+Q208,5)</f>
        <v>735648.02</v>
      </c>
    </row>
    <row r="209" spans="1:19" x14ac:dyDescent="0.25">
      <c r="A209" s="5"/>
      <c r="B209" s="5"/>
      <c r="C209" s="5"/>
      <c r="D209" s="5"/>
      <c r="E209" s="5" t="s">
        <v>157</v>
      </c>
      <c r="F209" s="5"/>
      <c r="G209" s="6">
        <v>46079</v>
      </c>
      <c r="H209" s="5"/>
      <c r="I209" s="5" t="s">
        <v>181</v>
      </c>
      <c r="J209" s="5"/>
      <c r="K209" s="5" t="s">
        <v>207</v>
      </c>
      <c r="L209" s="5"/>
      <c r="M209" s="5" t="s">
        <v>234</v>
      </c>
      <c r="N209" s="5"/>
      <c r="O209" s="5" t="s">
        <v>8</v>
      </c>
      <c r="P209" s="5"/>
      <c r="Q209" s="7">
        <v>720</v>
      </c>
      <c r="R209" s="5"/>
      <c r="S209" s="7">
        <f>ROUND(S208+Q209,5)</f>
        <v>736368.02</v>
      </c>
    </row>
    <row r="210" spans="1:19" x14ac:dyDescent="0.25">
      <c r="A210" s="5"/>
      <c r="B210" s="5"/>
      <c r="C210" s="5"/>
      <c r="D210" s="5"/>
      <c r="E210" s="5" t="s">
        <v>157</v>
      </c>
      <c r="F210" s="5"/>
      <c r="G210" s="6">
        <v>46087</v>
      </c>
      <c r="H210" s="5"/>
      <c r="I210" s="5" t="s">
        <v>184</v>
      </c>
      <c r="J210" s="5"/>
      <c r="K210" s="5" t="s">
        <v>208</v>
      </c>
      <c r="L210" s="5"/>
      <c r="M210" s="5" t="s">
        <v>235</v>
      </c>
      <c r="N210" s="5"/>
      <c r="O210" s="5" t="s">
        <v>8</v>
      </c>
      <c r="P210" s="5"/>
      <c r="Q210" s="7">
        <v>477266.03</v>
      </c>
      <c r="R210" s="5"/>
      <c r="S210" s="7">
        <f>ROUND(S209+Q210,5)</f>
        <v>1213634.05</v>
      </c>
    </row>
    <row r="211" spans="1:19" x14ac:dyDescent="0.25">
      <c r="A211" s="5"/>
      <c r="B211" s="5"/>
      <c r="C211" s="5"/>
      <c r="D211" s="5"/>
      <c r="E211" s="5" t="s">
        <v>157</v>
      </c>
      <c r="F211" s="5"/>
      <c r="G211" s="6">
        <v>46087</v>
      </c>
      <c r="H211" s="5"/>
      <c r="I211" s="5" t="s">
        <v>185</v>
      </c>
      <c r="J211" s="5"/>
      <c r="K211" s="5" t="s">
        <v>207</v>
      </c>
      <c r="L211" s="5"/>
      <c r="M211" s="5" t="s">
        <v>236</v>
      </c>
      <c r="N211" s="5"/>
      <c r="O211" s="5" t="s">
        <v>8</v>
      </c>
      <c r="P211" s="5"/>
      <c r="Q211" s="7">
        <v>26445</v>
      </c>
      <c r="R211" s="5"/>
      <c r="S211" s="7">
        <f>ROUND(S210+Q211,5)</f>
        <v>1240079.05</v>
      </c>
    </row>
    <row r="212" spans="1:19" x14ac:dyDescent="0.25">
      <c r="A212" s="5"/>
      <c r="B212" s="5"/>
      <c r="C212" s="5"/>
      <c r="D212" s="5"/>
      <c r="E212" s="5" t="s">
        <v>157</v>
      </c>
      <c r="F212" s="5"/>
      <c r="G212" s="6">
        <v>46100</v>
      </c>
      <c r="H212" s="5"/>
      <c r="I212" s="5" t="s">
        <v>191</v>
      </c>
      <c r="J212" s="5"/>
      <c r="K212" s="5" t="s">
        <v>208</v>
      </c>
      <c r="L212" s="5"/>
      <c r="M212" s="5" t="s">
        <v>237</v>
      </c>
      <c r="N212" s="5"/>
      <c r="O212" s="5" t="s">
        <v>8</v>
      </c>
      <c r="P212" s="5"/>
      <c r="Q212" s="7">
        <v>648363.18000000005</v>
      </c>
      <c r="R212" s="5"/>
      <c r="S212" s="7">
        <f>ROUND(S211+Q212,5)</f>
        <v>1888442.23</v>
      </c>
    </row>
    <row r="213" spans="1:19" x14ac:dyDescent="0.25">
      <c r="A213" s="5"/>
      <c r="B213" s="5"/>
      <c r="C213" s="5"/>
      <c r="D213" s="5"/>
      <c r="E213" s="5" t="s">
        <v>157</v>
      </c>
      <c r="F213" s="5"/>
      <c r="G213" s="6">
        <v>46100</v>
      </c>
      <c r="H213" s="5"/>
      <c r="I213" s="5" t="s">
        <v>192</v>
      </c>
      <c r="J213" s="5"/>
      <c r="K213" s="5" t="s">
        <v>207</v>
      </c>
      <c r="L213" s="5"/>
      <c r="M213" s="5" t="s">
        <v>238</v>
      </c>
      <c r="N213" s="5"/>
      <c r="O213" s="5" t="s">
        <v>8</v>
      </c>
      <c r="P213" s="5"/>
      <c r="Q213" s="7">
        <v>27495</v>
      </c>
      <c r="R213" s="5"/>
      <c r="S213" s="7">
        <f>ROUND(S212+Q213,5)</f>
        <v>1915937.23</v>
      </c>
    </row>
    <row r="214" spans="1:19" ht="15.75" thickBot="1" x14ac:dyDescent="0.3">
      <c r="A214" s="5"/>
      <c r="B214" s="5"/>
      <c r="C214" s="5"/>
      <c r="D214" s="5"/>
      <c r="E214" s="5" t="s">
        <v>159</v>
      </c>
      <c r="F214" s="5"/>
      <c r="G214" s="6">
        <v>46100</v>
      </c>
      <c r="H214" s="5"/>
      <c r="I214" s="5" t="s">
        <v>173</v>
      </c>
      <c r="J214" s="5"/>
      <c r="K214" s="5"/>
      <c r="L214" s="5"/>
      <c r="M214" s="5" t="s">
        <v>219</v>
      </c>
      <c r="N214" s="5"/>
      <c r="O214" s="5" t="s">
        <v>8</v>
      </c>
      <c r="P214" s="5"/>
      <c r="Q214" s="8">
        <v>5414.85</v>
      </c>
      <c r="R214" s="5"/>
      <c r="S214" s="8">
        <f>ROUND(S213+Q214,5)</f>
        <v>1921352.08</v>
      </c>
    </row>
    <row r="215" spans="1:19" x14ac:dyDescent="0.25">
      <c r="A215" s="5"/>
      <c r="B215" s="5" t="s">
        <v>115</v>
      </c>
      <c r="C215" s="5"/>
      <c r="D215" s="5"/>
      <c r="E215" s="5"/>
      <c r="F215" s="5"/>
      <c r="G215" s="6"/>
      <c r="H215" s="5"/>
      <c r="I215" s="5"/>
      <c r="J215" s="5"/>
      <c r="K215" s="5"/>
      <c r="L215" s="5"/>
      <c r="M215" s="5"/>
      <c r="N215" s="5"/>
      <c r="O215" s="5"/>
      <c r="P215" s="5"/>
      <c r="Q215" s="7">
        <f>ROUND(SUM(Q202:Q214),5)</f>
        <v>1921352.08</v>
      </c>
      <c r="R215" s="5"/>
      <c r="S215" s="7">
        <f>S214</f>
        <v>1921352.08</v>
      </c>
    </row>
    <row r="216" spans="1:19" x14ac:dyDescent="0.25">
      <c r="A216" s="2"/>
      <c r="B216" s="2" t="s">
        <v>116</v>
      </c>
      <c r="C216" s="2"/>
      <c r="D216" s="2"/>
      <c r="E216" s="2"/>
      <c r="F216" s="2"/>
      <c r="G216" s="4"/>
      <c r="H216" s="2"/>
      <c r="I216" s="2"/>
      <c r="J216" s="2"/>
      <c r="K216" s="2"/>
      <c r="L216" s="2"/>
      <c r="M216" s="2"/>
      <c r="N216" s="2"/>
      <c r="O216" s="2"/>
      <c r="P216" s="2"/>
      <c r="Q216" s="3"/>
      <c r="R216" s="2"/>
      <c r="S216" s="3">
        <v>0</v>
      </c>
    </row>
    <row r="217" spans="1:19" x14ac:dyDescent="0.25">
      <c r="A217" s="5"/>
      <c r="B217" s="5" t="s">
        <v>117</v>
      </c>
      <c r="C217" s="5"/>
      <c r="D217" s="5"/>
      <c r="E217" s="5"/>
      <c r="F217" s="5"/>
      <c r="G217" s="6"/>
      <c r="H217" s="5"/>
      <c r="I217" s="5"/>
      <c r="J217" s="5"/>
      <c r="K217" s="5"/>
      <c r="L217" s="5"/>
      <c r="M217" s="5"/>
      <c r="N217" s="5"/>
      <c r="O217" s="5"/>
      <c r="P217" s="5"/>
      <c r="Q217" s="7"/>
      <c r="R217" s="5"/>
      <c r="S217" s="7">
        <f>S216</f>
        <v>0</v>
      </c>
    </row>
    <row r="218" spans="1:19" x14ac:dyDescent="0.25">
      <c r="A218" s="2"/>
      <c r="B218" s="2" t="s">
        <v>118</v>
      </c>
      <c r="C218" s="2"/>
      <c r="D218" s="2"/>
      <c r="E218" s="2"/>
      <c r="F218" s="2"/>
      <c r="G218" s="4"/>
      <c r="H218" s="2"/>
      <c r="I218" s="2"/>
      <c r="J218" s="2"/>
      <c r="K218" s="2"/>
      <c r="L218" s="2"/>
      <c r="M218" s="2"/>
      <c r="N218" s="2"/>
      <c r="O218" s="2"/>
      <c r="P218" s="2"/>
      <c r="Q218" s="3"/>
      <c r="R218" s="2"/>
      <c r="S218" s="3">
        <v>0</v>
      </c>
    </row>
    <row r="219" spans="1:19" x14ac:dyDescent="0.25">
      <c r="A219" s="5"/>
      <c r="B219" s="5"/>
      <c r="C219" s="5"/>
      <c r="D219" s="5"/>
      <c r="E219" s="5" t="s">
        <v>157</v>
      </c>
      <c r="F219" s="5"/>
      <c r="G219" s="6">
        <v>46027</v>
      </c>
      <c r="H219" s="5"/>
      <c r="I219" s="5" t="s">
        <v>161</v>
      </c>
      <c r="J219" s="5"/>
      <c r="K219" s="5" t="s">
        <v>200</v>
      </c>
      <c r="L219" s="5"/>
      <c r="M219" s="5" t="s">
        <v>239</v>
      </c>
      <c r="N219" s="5"/>
      <c r="O219" s="5" t="s">
        <v>8</v>
      </c>
      <c r="P219" s="5"/>
      <c r="Q219" s="7">
        <v>40.08</v>
      </c>
      <c r="R219" s="5"/>
      <c r="S219" s="7">
        <f>ROUND(S218+Q219,5)</f>
        <v>40.08</v>
      </c>
    </row>
    <row r="220" spans="1:19" x14ac:dyDescent="0.25">
      <c r="A220" s="5"/>
      <c r="B220" s="5"/>
      <c r="C220" s="5"/>
      <c r="D220" s="5"/>
      <c r="E220" s="5" t="s">
        <v>157</v>
      </c>
      <c r="F220" s="5"/>
      <c r="G220" s="6">
        <v>46027</v>
      </c>
      <c r="H220" s="5"/>
      <c r="I220" s="5" t="s">
        <v>161</v>
      </c>
      <c r="J220" s="5"/>
      <c r="K220" s="5" t="s">
        <v>200</v>
      </c>
      <c r="L220" s="5"/>
      <c r="M220" s="5" t="s">
        <v>240</v>
      </c>
      <c r="N220" s="5"/>
      <c r="O220" s="5" t="s">
        <v>8</v>
      </c>
      <c r="P220" s="5"/>
      <c r="Q220" s="7">
        <v>37.42</v>
      </c>
      <c r="R220" s="5"/>
      <c r="S220" s="7">
        <f>ROUND(S219+Q220,5)</f>
        <v>77.5</v>
      </c>
    </row>
    <row r="221" spans="1:19" x14ac:dyDescent="0.25">
      <c r="A221" s="5"/>
      <c r="B221" s="5"/>
      <c r="C221" s="5"/>
      <c r="D221" s="5"/>
      <c r="E221" s="5" t="s">
        <v>157</v>
      </c>
      <c r="F221" s="5"/>
      <c r="G221" s="6">
        <v>46027</v>
      </c>
      <c r="H221" s="5"/>
      <c r="I221" s="5" t="s">
        <v>161</v>
      </c>
      <c r="J221" s="5"/>
      <c r="K221" s="5" t="s">
        <v>200</v>
      </c>
      <c r="L221" s="5"/>
      <c r="M221" s="5" t="s">
        <v>241</v>
      </c>
      <c r="N221" s="5"/>
      <c r="O221" s="5" t="s">
        <v>8</v>
      </c>
      <c r="P221" s="5"/>
      <c r="Q221" s="7">
        <v>48.35</v>
      </c>
      <c r="R221" s="5"/>
      <c r="S221" s="7">
        <f>ROUND(S220+Q221,5)</f>
        <v>125.85</v>
      </c>
    </row>
    <row r="222" spans="1:19" x14ac:dyDescent="0.25">
      <c r="A222" s="5"/>
      <c r="B222" s="5"/>
      <c r="C222" s="5"/>
      <c r="D222" s="5"/>
      <c r="E222" s="5" t="s">
        <v>157</v>
      </c>
      <c r="F222" s="5"/>
      <c r="G222" s="6">
        <v>46057</v>
      </c>
      <c r="H222" s="5"/>
      <c r="I222" s="5" t="s">
        <v>178</v>
      </c>
      <c r="J222" s="5"/>
      <c r="K222" s="5" t="s">
        <v>200</v>
      </c>
      <c r="L222" s="5"/>
      <c r="M222" s="5" t="s">
        <v>242</v>
      </c>
      <c r="N222" s="5"/>
      <c r="O222" s="5" t="s">
        <v>8</v>
      </c>
      <c r="P222" s="5"/>
      <c r="Q222" s="7">
        <v>41.95</v>
      </c>
      <c r="R222" s="5"/>
      <c r="S222" s="7">
        <f>ROUND(S221+Q222,5)</f>
        <v>167.8</v>
      </c>
    </row>
    <row r="223" spans="1:19" x14ac:dyDescent="0.25">
      <c r="A223" s="5"/>
      <c r="B223" s="5"/>
      <c r="C223" s="5"/>
      <c r="D223" s="5"/>
      <c r="E223" s="5" t="s">
        <v>157</v>
      </c>
      <c r="F223" s="5"/>
      <c r="G223" s="6">
        <v>46057</v>
      </c>
      <c r="H223" s="5"/>
      <c r="I223" s="5" t="s">
        <v>178</v>
      </c>
      <c r="J223" s="5"/>
      <c r="K223" s="5" t="s">
        <v>200</v>
      </c>
      <c r="L223" s="5"/>
      <c r="M223" s="5" t="s">
        <v>243</v>
      </c>
      <c r="N223" s="5"/>
      <c r="O223" s="5" t="s">
        <v>8</v>
      </c>
      <c r="P223" s="5"/>
      <c r="Q223" s="7">
        <v>37.56</v>
      </c>
      <c r="R223" s="5"/>
      <c r="S223" s="7">
        <f>ROUND(S222+Q223,5)</f>
        <v>205.36</v>
      </c>
    </row>
    <row r="224" spans="1:19" x14ac:dyDescent="0.25">
      <c r="A224" s="5"/>
      <c r="B224" s="5"/>
      <c r="C224" s="5"/>
      <c r="D224" s="5"/>
      <c r="E224" s="5" t="s">
        <v>157</v>
      </c>
      <c r="F224" s="5"/>
      <c r="G224" s="6">
        <v>46057</v>
      </c>
      <c r="H224" s="5"/>
      <c r="I224" s="5" t="s">
        <v>178</v>
      </c>
      <c r="J224" s="5"/>
      <c r="K224" s="5" t="s">
        <v>200</v>
      </c>
      <c r="L224" s="5"/>
      <c r="M224" s="5" t="s">
        <v>244</v>
      </c>
      <c r="N224" s="5"/>
      <c r="O224" s="5" t="s">
        <v>8</v>
      </c>
      <c r="P224" s="5"/>
      <c r="Q224" s="7">
        <v>54.38</v>
      </c>
      <c r="R224" s="5"/>
      <c r="S224" s="7">
        <f>ROUND(S223+Q224,5)</f>
        <v>259.74</v>
      </c>
    </row>
    <row r="225" spans="1:19" x14ac:dyDescent="0.25">
      <c r="A225" s="5"/>
      <c r="B225" s="5"/>
      <c r="C225" s="5"/>
      <c r="D225" s="5"/>
      <c r="E225" s="5" t="s">
        <v>157</v>
      </c>
      <c r="F225" s="5"/>
      <c r="G225" s="6">
        <v>46083</v>
      </c>
      <c r="H225" s="5"/>
      <c r="I225" s="5" t="s">
        <v>183</v>
      </c>
      <c r="J225" s="5"/>
      <c r="K225" s="5" t="s">
        <v>200</v>
      </c>
      <c r="L225" s="5"/>
      <c r="M225" s="5" t="s">
        <v>242</v>
      </c>
      <c r="N225" s="5"/>
      <c r="O225" s="5" t="s">
        <v>8</v>
      </c>
      <c r="P225" s="5"/>
      <c r="Q225" s="7">
        <v>52.54</v>
      </c>
      <c r="R225" s="5"/>
      <c r="S225" s="7">
        <f>ROUND(S224+Q225,5)</f>
        <v>312.27999999999997</v>
      </c>
    </row>
    <row r="226" spans="1:19" x14ac:dyDescent="0.25">
      <c r="A226" s="5"/>
      <c r="B226" s="5"/>
      <c r="C226" s="5"/>
      <c r="D226" s="5"/>
      <c r="E226" s="5" t="s">
        <v>157</v>
      </c>
      <c r="F226" s="5"/>
      <c r="G226" s="6">
        <v>46083</v>
      </c>
      <c r="H226" s="5"/>
      <c r="I226" s="5" t="s">
        <v>183</v>
      </c>
      <c r="J226" s="5"/>
      <c r="K226" s="5" t="s">
        <v>200</v>
      </c>
      <c r="L226" s="5"/>
      <c r="M226" s="5" t="s">
        <v>243</v>
      </c>
      <c r="N226" s="5"/>
      <c r="O226" s="5" t="s">
        <v>8</v>
      </c>
      <c r="P226" s="5"/>
      <c r="Q226" s="7">
        <v>39.83</v>
      </c>
      <c r="R226" s="5"/>
      <c r="S226" s="7">
        <f>ROUND(S225+Q226,5)</f>
        <v>352.11</v>
      </c>
    </row>
    <row r="227" spans="1:19" ht="15.75" thickBot="1" x14ac:dyDescent="0.3">
      <c r="A227" s="5"/>
      <c r="B227" s="5"/>
      <c r="C227" s="5"/>
      <c r="D227" s="5"/>
      <c r="E227" s="5" t="s">
        <v>157</v>
      </c>
      <c r="F227" s="5"/>
      <c r="G227" s="6">
        <v>46083</v>
      </c>
      <c r="H227" s="5"/>
      <c r="I227" s="5" t="s">
        <v>183</v>
      </c>
      <c r="J227" s="5"/>
      <c r="K227" s="5" t="s">
        <v>200</v>
      </c>
      <c r="L227" s="5"/>
      <c r="M227" s="5" t="s">
        <v>244</v>
      </c>
      <c r="N227" s="5"/>
      <c r="O227" s="5" t="s">
        <v>8</v>
      </c>
      <c r="P227" s="5"/>
      <c r="Q227" s="8">
        <v>53.1</v>
      </c>
      <c r="R227" s="5"/>
      <c r="S227" s="8">
        <f>ROUND(S226+Q227,5)</f>
        <v>405.21</v>
      </c>
    </row>
    <row r="228" spans="1:19" x14ac:dyDescent="0.25">
      <c r="A228" s="5"/>
      <c r="B228" s="5" t="s">
        <v>119</v>
      </c>
      <c r="C228" s="5"/>
      <c r="D228" s="5"/>
      <c r="E228" s="5"/>
      <c r="F228" s="5"/>
      <c r="G228" s="6"/>
      <c r="H228" s="5"/>
      <c r="I228" s="5"/>
      <c r="J228" s="5"/>
      <c r="K228" s="5"/>
      <c r="L228" s="5"/>
      <c r="M228" s="5"/>
      <c r="N228" s="5"/>
      <c r="O228" s="5"/>
      <c r="P228" s="5"/>
      <c r="Q228" s="7">
        <f>ROUND(SUM(Q218:Q227),5)</f>
        <v>405.21</v>
      </c>
      <c r="R228" s="5"/>
      <c r="S228" s="7">
        <f>S227</f>
        <v>405.21</v>
      </c>
    </row>
    <row r="229" spans="1:19" x14ac:dyDescent="0.25">
      <c r="A229" s="2"/>
      <c r="B229" s="2" t="s">
        <v>120</v>
      </c>
      <c r="C229" s="2"/>
      <c r="D229" s="2"/>
      <c r="E229" s="2"/>
      <c r="F229" s="2"/>
      <c r="G229" s="4"/>
      <c r="H229" s="2"/>
      <c r="I229" s="2"/>
      <c r="J229" s="2"/>
      <c r="K229" s="2"/>
      <c r="L229" s="2"/>
      <c r="M229" s="2"/>
      <c r="N229" s="2"/>
      <c r="O229" s="2"/>
      <c r="P229" s="2"/>
      <c r="Q229" s="3"/>
      <c r="R229" s="2"/>
      <c r="S229" s="3">
        <v>0</v>
      </c>
    </row>
    <row r="230" spans="1:19" x14ac:dyDescent="0.25">
      <c r="A230" s="5"/>
      <c r="B230" s="5"/>
      <c r="C230" s="5"/>
      <c r="D230" s="5"/>
      <c r="E230" s="5" t="s">
        <v>159</v>
      </c>
      <c r="F230" s="5"/>
      <c r="G230" s="6">
        <v>46052</v>
      </c>
      <c r="H230" s="5"/>
      <c r="I230" s="5" t="s">
        <v>197</v>
      </c>
      <c r="J230" s="5"/>
      <c r="K230" s="5"/>
      <c r="L230" s="5"/>
      <c r="M230" s="5" t="s">
        <v>222</v>
      </c>
      <c r="N230" s="5"/>
      <c r="O230" s="5" t="s">
        <v>62</v>
      </c>
      <c r="P230" s="5"/>
      <c r="Q230" s="7">
        <v>550</v>
      </c>
      <c r="R230" s="5"/>
      <c r="S230" s="7">
        <f>ROUND(S229+Q230,5)</f>
        <v>550</v>
      </c>
    </row>
    <row r="231" spans="1:19" x14ac:dyDescent="0.25">
      <c r="A231" s="5"/>
      <c r="B231" s="5"/>
      <c r="C231" s="5"/>
      <c r="D231" s="5"/>
      <c r="E231" s="5" t="s">
        <v>159</v>
      </c>
      <c r="F231" s="5"/>
      <c r="G231" s="6">
        <v>46081</v>
      </c>
      <c r="H231" s="5"/>
      <c r="I231" s="5" t="s">
        <v>197</v>
      </c>
      <c r="J231" s="5"/>
      <c r="K231" s="5"/>
      <c r="L231" s="5"/>
      <c r="M231" s="5" t="s">
        <v>222</v>
      </c>
      <c r="N231" s="5"/>
      <c r="O231" s="5" t="s">
        <v>62</v>
      </c>
      <c r="P231" s="5"/>
      <c r="Q231" s="7">
        <v>550</v>
      </c>
      <c r="R231" s="5"/>
      <c r="S231" s="7">
        <f>ROUND(S230+Q231,5)</f>
        <v>1100</v>
      </c>
    </row>
    <row r="232" spans="1:19" ht="15.75" thickBot="1" x14ac:dyDescent="0.3">
      <c r="A232" s="5"/>
      <c r="B232" s="5"/>
      <c r="C232" s="5"/>
      <c r="D232" s="5"/>
      <c r="E232" s="5" t="s">
        <v>159</v>
      </c>
      <c r="F232" s="5"/>
      <c r="G232" s="6">
        <v>46112</v>
      </c>
      <c r="H232" s="5"/>
      <c r="I232" s="5" t="s">
        <v>197</v>
      </c>
      <c r="J232" s="5"/>
      <c r="K232" s="5"/>
      <c r="L232" s="5"/>
      <c r="M232" s="5" t="s">
        <v>222</v>
      </c>
      <c r="N232" s="5"/>
      <c r="O232" s="5" t="s">
        <v>62</v>
      </c>
      <c r="P232" s="5"/>
      <c r="Q232" s="8">
        <v>550</v>
      </c>
      <c r="R232" s="5"/>
      <c r="S232" s="8">
        <f>ROUND(S231+Q232,5)</f>
        <v>1650</v>
      </c>
    </row>
    <row r="233" spans="1:19" x14ac:dyDescent="0.25">
      <c r="A233" s="5"/>
      <c r="B233" s="5" t="s">
        <v>121</v>
      </c>
      <c r="C233" s="5"/>
      <c r="D233" s="5"/>
      <c r="E233" s="5"/>
      <c r="F233" s="5"/>
      <c r="G233" s="6"/>
      <c r="H233" s="5"/>
      <c r="I233" s="5"/>
      <c r="J233" s="5"/>
      <c r="K233" s="5"/>
      <c r="L233" s="5"/>
      <c r="M233" s="5"/>
      <c r="N233" s="5"/>
      <c r="O233" s="5"/>
      <c r="P233" s="5"/>
      <c r="Q233" s="7">
        <f>ROUND(SUM(Q229:Q232),5)</f>
        <v>1650</v>
      </c>
      <c r="R233" s="5"/>
      <c r="S233" s="7">
        <f>S232</f>
        <v>1650</v>
      </c>
    </row>
    <row r="234" spans="1:19" x14ac:dyDescent="0.25">
      <c r="A234" s="2"/>
      <c r="B234" s="2" t="s">
        <v>122</v>
      </c>
      <c r="C234" s="2"/>
      <c r="D234" s="2"/>
      <c r="E234" s="2"/>
      <c r="F234" s="2"/>
      <c r="G234" s="4"/>
      <c r="H234" s="2"/>
      <c r="I234" s="2"/>
      <c r="J234" s="2"/>
      <c r="K234" s="2"/>
      <c r="L234" s="2"/>
      <c r="M234" s="2"/>
      <c r="N234" s="2"/>
      <c r="O234" s="2"/>
      <c r="P234" s="2"/>
      <c r="Q234" s="3"/>
      <c r="R234" s="2"/>
      <c r="S234" s="3">
        <v>0</v>
      </c>
    </row>
    <row r="235" spans="1:19" ht="15.75" thickBot="1" x14ac:dyDescent="0.3">
      <c r="A235" s="1"/>
      <c r="B235" s="1"/>
      <c r="C235" s="5"/>
      <c r="D235" s="5"/>
      <c r="E235" s="5" t="s">
        <v>157</v>
      </c>
      <c r="F235" s="5"/>
      <c r="G235" s="6">
        <v>46083</v>
      </c>
      <c r="H235" s="5"/>
      <c r="I235" s="5" t="s">
        <v>182</v>
      </c>
      <c r="J235" s="5"/>
      <c r="K235" s="5" t="s">
        <v>212</v>
      </c>
      <c r="L235" s="5"/>
      <c r="M235" s="5" t="s">
        <v>245</v>
      </c>
      <c r="N235" s="5"/>
      <c r="O235" s="5" t="s">
        <v>8</v>
      </c>
      <c r="P235" s="5"/>
      <c r="Q235" s="8">
        <v>46.45</v>
      </c>
      <c r="R235" s="5"/>
      <c r="S235" s="8">
        <f>ROUND(S234+Q235,5)</f>
        <v>46.45</v>
      </c>
    </row>
    <row r="236" spans="1:19" x14ac:dyDescent="0.25">
      <c r="A236" s="5"/>
      <c r="B236" s="5" t="s">
        <v>123</v>
      </c>
      <c r="C236" s="5"/>
      <c r="D236" s="5"/>
      <c r="E236" s="5"/>
      <c r="F236" s="5"/>
      <c r="G236" s="6"/>
      <c r="H236" s="5"/>
      <c r="I236" s="5"/>
      <c r="J236" s="5"/>
      <c r="K236" s="5"/>
      <c r="L236" s="5"/>
      <c r="M236" s="5"/>
      <c r="N236" s="5"/>
      <c r="O236" s="5"/>
      <c r="P236" s="5"/>
      <c r="Q236" s="7">
        <f>ROUND(SUM(Q234:Q235),5)</f>
        <v>46.45</v>
      </c>
      <c r="R236" s="5"/>
      <c r="S236" s="7">
        <f>S235</f>
        <v>46.45</v>
      </c>
    </row>
    <row r="237" spans="1:19" x14ac:dyDescent="0.25">
      <c r="A237" s="2"/>
      <c r="B237" s="2" t="s">
        <v>124</v>
      </c>
      <c r="C237" s="2"/>
      <c r="D237" s="2"/>
      <c r="E237" s="2"/>
      <c r="F237" s="2"/>
      <c r="G237" s="4"/>
      <c r="H237" s="2"/>
      <c r="I237" s="2"/>
      <c r="J237" s="2"/>
      <c r="K237" s="2"/>
      <c r="L237" s="2"/>
      <c r="M237" s="2"/>
      <c r="N237" s="2"/>
      <c r="O237" s="2"/>
      <c r="P237" s="2"/>
      <c r="Q237" s="3"/>
      <c r="R237" s="2"/>
      <c r="S237" s="3">
        <v>0</v>
      </c>
    </row>
    <row r="238" spans="1:19" x14ac:dyDescent="0.25">
      <c r="A238" s="5"/>
      <c r="B238" s="5"/>
      <c r="C238" s="5"/>
      <c r="D238" s="5"/>
      <c r="E238" s="5" t="s">
        <v>157</v>
      </c>
      <c r="F238" s="5"/>
      <c r="G238" s="6">
        <v>46027</v>
      </c>
      <c r="H238" s="5"/>
      <c r="I238" s="5" t="s">
        <v>160</v>
      </c>
      <c r="J238" s="5"/>
      <c r="K238" s="5" t="s">
        <v>199</v>
      </c>
      <c r="L238" s="5"/>
      <c r="M238" s="5"/>
      <c r="N238" s="5"/>
      <c r="O238" s="5" t="s">
        <v>8</v>
      </c>
      <c r="P238" s="5"/>
      <c r="Q238" s="7">
        <v>2149.25</v>
      </c>
      <c r="R238" s="5"/>
      <c r="S238" s="7">
        <f>ROUND(S237+Q238,5)</f>
        <v>2149.25</v>
      </c>
    </row>
    <row r="239" spans="1:19" ht="15.75" thickBot="1" x14ac:dyDescent="0.3">
      <c r="A239" s="5"/>
      <c r="B239" s="5"/>
      <c r="C239" s="5"/>
      <c r="D239" s="5"/>
      <c r="E239" s="5" t="s">
        <v>157</v>
      </c>
      <c r="F239" s="5"/>
      <c r="G239" s="6">
        <v>46097</v>
      </c>
      <c r="H239" s="5"/>
      <c r="I239" s="5" t="s">
        <v>190</v>
      </c>
      <c r="J239" s="5"/>
      <c r="K239" s="5" t="s">
        <v>199</v>
      </c>
      <c r="L239" s="5"/>
      <c r="M239" s="5"/>
      <c r="N239" s="5"/>
      <c r="O239" s="5" t="s">
        <v>8</v>
      </c>
      <c r="P239" s="5"/>
      <c r="Q239" s="8">
        <v>2149.25</v>
      </c>
      <c r="R239" s="5"/>
      <c r="S239" s="8">
        <f>ROUND(S238+Q239,5)</f>
        <v>4298.5</v>
      </c>
    </row>
    <row r="240" spans="1:19" x14ac:dyDescent="0.25">
      <c r="A240" s="5"/>
      <c r="B240" s="5" t="s">
        <v>125</v>
      </c>
      <c r="C240" s="5"/>
      <c r="D240" s="5"/>
      <c r="E240" s="5"/>
      <c r="F240" s="5"/>
      <c r="G240" s="6"/>
      <c r="H240" s="5"/>
      <c r="I240" s="5"/>
      <c r="J240" s="5"/>
      <c r="K240" s="5"/>
      <c r="L240" s="5"/>
      <c r="M240" s="5"/>
      <c r="N240" s="5"/>
      <c r="O240" s="5"/>
      <c r="P240" s="5"/>
      <c r="Q240" s="7">
        <f>ROUND(SUM(Q237:Q239),5)</f>
        <v>4298.5</v>
      </c>
      <c r="R240" s="5"/>
      <c r="S240" s="7">
        <f>S239</f>
        <v>4298.5</v>
      </c>
    </row>
    <row r="241" spans="1:19" x14ac:dyDescent="0.25">
      <c r="A241" s="2"/>
      <c r="B241" s="2" t="s">
        <v>126</v>
      </c>
      <c r="C241" s="2"/>
      <c r="D241" s="2"/>
      <c r="E241" s="2"/>
      <c r="F241" s="2"/>
      <c r="G241" s="4"/>
      <c r="H241" s="2"/>
      <c r="I241" s="2"/>
      <c r="J241" s="2"/>
      <c r="K241" s="2"/>
      <c r="L241" s="2"/>
      <c r="M241" s="2"/>
      <c r="N241" s="2"/>
      <c r="O241" s="2"/>
      <c r="P241" s="2"/>
      <c r="Q241" s="3"/>
      <c r="R241" s="2"/>
      <c r="S241" s="3">
        <v>0</v>
      </c>
    </row>
    <row r="242" spans="1:19" x14ac:dyDescent="0.25">
      <c r="A242" s="5"/>
      <c r="B242" s="5" t="s">
        <v>127</v>
      </c>
      <c r="C242" s="5"/>
      <c r="D242" s="5"/>
      <c r="E242" s="5"/>
      <c r="F242" s="5"/>
      <c r="G242" s="6"/>
      <c r="H242" s="5"/>
      <c r="I242" s="5"/>
      <c r="J242" s="5"/>
      <c r="K242" s="5"/>
      <c r="L242" s="5"/>
      <c r="M242" s="5"/>
      <c r="N242" s="5"/>
      <c r="O242" s="5"/>
      <c r="P242" s="5"/>
      <c r="Q242" s="7"/>
      <c r="R242" s="5"/>
      <c r="S242" s="7">
        <f>S241</f>
        <v>0</v>
      </c>
    </row>
    <row r="243" spans="1:19" x14ac:dyDescent="0.25">
      <c r="A243" s="2"/>
      <c r="B243" s="2" t="s">
        <v>128</v>
      </c>
      <c r="C243" s="2"/>
      <c r="D243" s="2"/>
      <c r="E243" s="2"/>
      <c r="F243" s="2"/>
      <c r="G243" s="4"/>
      <c r="H243" s="2"/>
      <c r="I243" s="2"/>
      <c r="J243" s="2"/>
      <c r="K243" s="2"/>
      <c r="L243" s="2"/>
      <c r="M243" s="2"/>
      <c r="N243" s="2"/>
      <c r="O243" s="2"/>
      <c r="P243" s="2"/>
      <c r="Q243" s="3"/>
      <c r="R243" s="2"/>
      <c r="S243" s="3">
        <v>0</v>
      </c>
    </row>
    <row r="244" spans="1:19" x14ac:dyDescent="0.25">
      <c r="A244" s="5"/>
      <c r="B244" s="5" t="s">
        <v>129</v>
      </c>
      <c r="C244" s="5"/>
      <c r="D244" s="5"/>
      <c r="E244" s="5"/>
      <c r="F244" s="5"/>
      <c r="G244" s="6"/>
      <c r="H244" s="5"/>
      <c r="I244" s="5"/>
      <c r="J244" s="5"/>
      <c r="K244" s="5"/>
      <c r="L244" s="5"/>
      <c r="M244" s="5"/>
      <c r="N244" s="5"/>
      <c r="O244" s="5"/>
      <c r="P244" s="5"/>
      <c r="Q244" s="7"/>
      <c r="R244" s="5"/>
      <c r="S244" s="7">
        <f>S243</f>
        <v>0</v>
      </c>
    </row>
    <row r="245" spans="1:19" x14ac:dyDescent="0.25">
      <c r="A245" s="2"/>
      <c r="B245" s="2" t="s">
        <v>130</v>
      </c>
      <c r="C245" s="2"/>
      <c r="D245" s="2"/>
      <c r="E245" s="2"/>
      <c r="F245" s="2"/>
      <c r="G245" s="4"/>
      <c r="H245" s="2"/>
      <c r="I245" s="2"/>
      <c r="J245" s="2"/>
      <c r="K245" s="2"/>
      <c r="L245" s="2"/>
      <c r="M245" s="2"/>
      <c r="N245" s="2"/>
      <c r="O245" s="2"/>
      <c r="P245" s="2"/>
      <c r="Q245" s="3"/>
      <c r="R245" s="2"/>
      <c r="S245" s="3">
        <v>0</v>
      </c>
    </row>
    <row r="246" spans="1:19" x14ac:dyDescent="0.25">
      <c r="A246" s="5"/>
      <c r="B246" s="5" t="s">
        <v>131</v>
      </c>
      <c r="C246" s="5"/>
      <c r="D246" s="5"/>
      <c r="E246" s="5"/>
      <c r="F246" s="5"/>
      <c r="G246" s="6"/>
      <c r="H246" s="5"/>
      <c r="I246" s="5"/>
      <c r="J246" s="5"/>
      <c r="K246" s="5"/>
      <c r="L246" s="5"/>
      <c r="M246" s="5"/>
      <c r="N246" s="5"/>
      <c r="O246" s="5"/>
      <c r="P246" s="5"/>
      <c r="Q246" s="7"/>
      <c r="R246" s="5"/>
      <c r="S246" s="7">
        <f>S245</f>
        <v>0</v>
      </c>
    </row>
    <row r="247" spans="1:19" x14ac:dyDescent="0.25">
      <c r="A247" s="2"/>
      <c r="B247" s="2" t="s">
        <v>132</v>
      </c>
      <c r="C247" s="2"/>
      <c r="D247" s="2"/>
      <c r="E247" s="2"/>
      <c r="F247" s="2"/>
      <c r="G247" s="4"/>
      <c r="H247" s="2"/>
      <c r="I247" s="2"/>
      <c r="J247" s="2"/>
      <c r="K247" s="2"/>
      <c r="L247" s="2"/>
      <c r="M247" s="2"/>
      <c r="N247" s="2"/>
      <c r="O247" s="2"/>
      <c r="P247" s="2"/>
      <c r="Q247" s="3"/>
      <c r="R247" s="2"/>
      <c r="S247" s="3">
        <v>0</v>
      </c>
    </row>
    <row r="248" spans="1:19" x14ac:dyDescent="0.25">
      <c r="A248" s="5"/>
      <c r="B248" s="5" t="s">
        <v>133</v>
      </c>
      <c r="C248" s="5"/>
      <c r="D248" s="5"/>
      <c r="E248" s="5"/>
      <c r="F248" s="5"/>
      <c r="G248" s="6"/>
      <c r="H248" s="5"/>
      <c r="I248" s="5"/>
      <c r="J248" s="5"/>
      <c r="K248" s="5"/>
      <c r="L248" s="5"/>
      <c r="M248" s="5"/>
      <c r="N248" s="5"/>
      <c r="O248" s="5"/>
      <c r="P248" s="5"/>
      <c r="Q248" s="7"/>
      <c r="R248" s="5"/>
      <c r="S248" s="7">
        <f>S247</f>
        <v>0</v>
      </c>
    </row>
    <row r="249" spans="1:19" x14ac:dyDescent="0.25">
      <c r="A249" s="2"/>
      <c r="B249" s="2" t="s">
        <v>134</v>
      </c>
      <c r="C249" s="2"/>
      <c r="D249" s="2"/>
      <c r="E249" s="2"/>
      <c r="F249" s="2"/>
      <c r="G249" s="4"/>
      <c r="H249" s="2"/>
      <c r="I249" s="2"/>
      <c r="J249" s="2"/>
      <c r="K249" s="2"/>
      <c r="L249" s="2"/>
      <c r="M249" s="2"/>
      <c r="N249" s="2"/>
      <c r="O249" s="2"/>
      <c r="P249" s="2"/>
      <c r="Q249" s="3"/>
      <c r="R249" s="2"/>
      <c r="S249" s="3">
        <v>0</v>
      </c>
    </row>
    <row r="250" spans="1:19" x14ac:dyDescent="0.25">
      <c r="A250" s="5"/>
      <c r="B250" s="5" t="s">
        <v>135</v>
      </c>
      <c r="C250" s="5"/>
      <c r="D250" s="5"/>
      <c r="E250" s="5"/>
      <c r="F250" s="5"/>
      <c r="G250" s="6"/>
      <c r="H250" s="5"/>
      <c r="I250" s="5"/>
      <c r="J250" s="5"/>
      <c r="K250" s="5"/>
      <c r="L250" s="5"/>
      <c r="M250" s="5"/>
      <c r="N250" s="5"/>
      <c r="O250" s="5"/>
      <c r="P250" s="5"/>
      <c r="Q250" s="7"/>
      <c r="R250" s="5"/>
      <c r="S250" s="7">
        <f>S249</f>
        <v>0</v>
      </c>
    </row>
    <row r="251" spans="1:19" x14ac:dyDescent="0.25">
      <c r="A251" s="2"/>
      <c r="B251" s="2" t="s">
        <v>136</v>
      </c>
      <c r="C251" s="2"/>
      <c r="D251" s="2"/>
      <c r="E251" s="2"/>
      <c r="F251" s="2"/>
      <c r="G251" s="4"/>
      <c r="H251" s="2"/>
      <c r="I251" s="2"/>
      <c r="J251" s="2"/>
      <c r="K251" s="2"/>
      <c r="L251" s="2"/>
      <c r="M251" s="2"/>
      <c r="N251" s="2"/>
      <c r="O251" s="2"/>
      <c r="P251" s="2"/>
      <c r="Q251" s="3"/>
      <c r="R251" s="2"/>
      <c r="S251" s="3">
        <v>0</v>
      </c>
    </row>
    <row r="252" spans="1:19" x14ac:dyDescent="0.25">
      <c r="A252" s="5"/>
      <c r="B252" s="5" t="s">
        <v>137</v>
      </c>
      <c r="C252" s="5"/>
      <c r="D252" s="5"/>
      <c r="E252" s="5"/>
      <c r="F252" s="5"/>
      <c r="G252" s="6"/>
      <c r="H252" s="5"/>
      <c r="I252" s="5"/>
      <c r="J252" s="5"/>
      <c r="K252" s="5"/>
      <c r="L252" s="5"/>
      <c r="M252" s="5"/>
      <c r="N252" s="5"/>
      <c r="O252" s="5"/>
      <c r="P252" s="5"/>
      <c r="Q252" s="7"/>
      <c r="R252" s="5"/>
      <c r="S252" s="7">
        <f>S251</f>
        <v>0</v>
      </c>
    </row>
    <row r="253" spans="1:19" x14ac:dyDescent="0.25">
      <c r="A253" s="2"/>
      <c r="B253" s="2" t="s">
        <v>138</v>
      </c>
      <c r="C253" s="2"/>
      <c r="D253" s="2"/>
      <c r="E253" s="2"/>
      <c r="F253" s="2"/>
      <c r="G253" s="4"/>
      <c r="H253" s="2"/>
      <c r="I253" s="2"/>
      <c r="J253" s="2"/>
      <c r="K253" s="2"/>
      <c r="L253" s="2"/>
      <c r="M253" s="2"/>
      <c r="N253" s="2"/>
      <c r="O253" s="2"/>
      <c r="P253" s="2"/>
      <c r="Q253" s="3"/>
      <c r="R253" s="2"/>
      <c r="S253" s="3">
        <v>0</v>
      </c>
    </row>
    <row r="254" spans="1:19" ht="15.75" thickBot="1" x14ac:dyDescent="0.3">
      <c r="A254" s="1"/>
      <c r="B254" s="1"/>
      <c r="C254" s="5"/>
      <c r="D254" s="5"/>
      <c r="E254" s="5" t="s">
        <v>157</v>
      </c>
      <c r="F254" s="5"/>
      <c r="G254" s="6">
        <v>46055</v>
      </c>
      <c r="H254" s="5"/>
      <c r="I254" s="5" t="s">
        <v>177</v>
      </c>
      <c r="J254" s="5"/>
      <c r="K254" s="5" t="s">
        <v>211</v>
      </c>
      <c r="L254" s="5"/>
      <c r="M254" s="5" t="s">
        <v>246</v>
      </c>
      <c r="N254" s="5"/>
      <c r="O254" s="5" t="s">
        <v>8</v>
      </c>
      <c r="P254" s="5"/>
      <c r="Q254" s="8">
        <v>6.88</v>
      </c>
      <c r="R254" s="5"/>
      <c r="S254" s="8">
        <f>ROUND(S253+Q254,5)</f>
        <v>6.88</v>
      </c>
    </row>
    <row r="255" spans="1:19" x14ac:dyDescent="0.25">
      <c r="A255" s="5"/>
      <c r="B255" s="5" t="s">
        <v>139</v>
      </c>
      <c r="C255" s="5"/>
      <c r="D255" s="5"/>
      <c r="E255" s="5"/>
      <c r="F255" s="5"/>
      <c r="G255" s="6"/>
      <c r="H255" s="5"/>
      <c r="I255" s="5"/>
      <c r="J255" s="5"/>
      <c r="K255" s="5"/>
      <c r="L255" s="5"/>
      <c r="M255" s="5"/>
      <c r="N255" s="5"/>
      <c r="O255" s="5"/>
      <c r="P255" s="5"/>
      <c r="Q255" s="7">
        <f>ROUND(SUM(Q253:Q254),5)</f>
        <v>6.88</v>
      </c>
      <c r="R255" s="5"/>
      <c r="S255" s="7">
        <f>S254</f>
        <v>6.88</v>
      </c>
    </row>
    <row r="256" spans="1:19" x14ac:dyDescent="0.25">
      <c r="A256" s="2"/>
      <c r="B256" s="2" t="s">
        <v>140</v>
      </c>
      <c r="C256" s="2"/>
      <c r="D256" s="2"/>
      <c r="E256" s="2"/>
      <c r="F256" s="2"/>
      <c r="G256" s="4"/>
      <c r="H256" s="2"/>
      <c r="I256" s="2"/>
      <c r="J256" s="2"/>
      <c r="K256" s="2"/>
      <c r="L256" s="2"/>
      <c r="M256" s="2"/>
      <c r="N256" s="2"/>
      <c r="O256" s="2"/>
      <c r="P256" s="2"/>
      <c r="Q256" s="3"/>
      <c r="R256" s="2"/>
      <c r="S256" s="3">
        <v>0</v>
      </c>
    </row>
    <row r="257" spans="1:19" x14ac:dyDescent="0.25">
      <c r="A257" s="5"/>
      <c r="B257" s="5" t="s">
        <v>141</v>
      </c>
      <c r="C257" s="5"/>
      <c r="D257" s="5"/>
      <c r="E257" s="5"/>
      <c r="F257" s="5"/>
      <c r="G257" s="6"/>
      <c r="H257" s="5"/>
      <c r="I257" s="5"/>
      <c r="J257" s="5"/>
      <c r="K257" s="5"/>
      <c r="L257" s="5"/>
      <c r="M257" s="5"/>
      <c r="N257" s="5"/>
      <c r="O257" s="5"/>
      <c r="P257" s="5"/>
      <c r="Q257" s="7"/>
      <c r="R257" s="5"/>
      <c r="S257" s="7">
        <f>S256</f>
        <v>0</v>
      </c>
    </row>
    <row r="258" spans="1:19" x14ac:dyDescent="0.25">
      <c r="A258" s="2"/>
      <c r="B258" s="2" t="s">
        <v>142</v>
      </c>
      <c r="C258" s="2"/>
      <c r="D258" s="2"/>
      <c r="E258" s="2"/>
      <c r="F258" s="2"/>
      <c r="G258" s="4"/>
      <c r="H258" s="2"/>
      <c r="I258" s="2"/>
      <c r="J258" s="2"/>
      <c r="K258" s="2"/>
      <c r="L258" s="2"/>
      <c r="M258" s="2"/>
      <c r="N258" s="2"/>
      <c r="O258" s="2"/>
      <c r="P258" s="2"/>
      <c r="Q258" s="3"/>
      <c r="R258" s="2"/>
      <c r="S258" s="3">
        <v>0</v>
      </c>
    </row>
    <row r="259" spans="1:19" x14ac:dyDescent="0.25">
      <c r="A259" s="5"/>
      <c r="B259" s="5" t="s">
        <v>143</v>
      </c>
      <c r="C259" s="5"/>
      <c r="D259" s="5"/>
      <c r="E259" s="5"/>
      <c r="F259" s="5"/>
      <c r="G259" s="6"/>
      <c r="H259" s="5"/>
      <c r="I259" s="5"/>
      <c r="J259" s="5"/>
      <c r="K259" s="5"/>
      <c r="L259" s="5"/>
      <c r="M259" s="5"/>
      <c r="N259" s="5"/>
      <c r="O259" s="5"/>
      <c r="P259" s="5"/>
      <c r="Q259" s="7"/>
      <c r="R259" s="5"/>
      <c r="S259" s="7">
        <f>S258</f>
        <v>0</v>
      </c>
    </row>
    <row r="260" spans="1:19" x14ac:dyDescent="0.25">
      <c r="A260" s="2"/>
      <c r="B260" s="2" t="s">
        <v>144</v>
      </c>
      <c r="C260" s="2"/>
      <c r="D260" s="2"/>
      <c r="E260" s="2"/>
      <c r="F260" s="2"/>
      <c r="G260" s="4"/>
      <c r="H260" s="2"/>
      <c r="I260" s="2"/>
      <c r="J260" s="2"/>
      <c r="K260" s="2"/>
      <c r="L260" s="2"/>
      <c r="M260" s="2"/>
      <c r="N260" s="2"/>
      <c r="O260" s="2"/>
      <c r="P260" s="2"/>
      <c r="Q260" s="3"/>
      <c r="R260" s="2"/>
      <c r="S260" s="3">
        <v>0</v>
      </c>
    </row>
    <row r="261" spans="1:19" x14ac:dyDescent="0.25">
      <c r="A261" s="5"/>
      <c r="B261" s="5" t="s">
        <v>145</v>
      </c>
      <c r="C261" s="5"/>
      <c r="D261" s="5"/>
      <c r="E261" s="5"/>
      <c r="F261" s="5"/>
      <c r="G261" s="6"/>
      <c r="H261" s="5"/>
      <c r="I261" s="5"/>
      <c r="J261" s="5"/>
      <c r="K261" s="5"/>
      <c r="L261" s="5"/>
      <c r="M261" s="5"/>
      <c r="N261" s="5"/>
      <c r="O261" s="5"/>
      <c r="P261" s="5"/>
      <c r="Q261" s="7"/>
      <c r="R261" s="5"/>
      <c r="S261" s="7">
        <f>S260</f>
        <v>0</v>
      </c>
    </row>
    <row r="262" spans="1:19" x14ac:dyDescent="0.25">
      <c r="A262" s="2"/>
      <c r="B262" s="2" t="s">
        <v>146</v>
      </c>
      <c r="C262" s="2"/>
      <c r="D262" s="2"/>
      <c r="E262" s="2"/>
      <c r="F262" s="2"/>
      <c r="G262" s="4"/>
      <c r="H262" s="2"/>
      <c r="I262" s="2"/>
      <c r="J262" s="2"/>
      <c r="K262" s="2"/>
      <c r="L262" s="2"/>
      <c r="M262" s="2"/>
      <c r="N262" s="2"/>
      <c r="O262" s="2"/>
      <c r="P262" s="2"/>
      <c r="Q262" s="3"/>
      <c r="R262" s="2"/>
      <c r="S262" s="3">
        <v>0</v>
      </c>
    </row>
    <row r="263" spans="1:19" x14ac:dyDescent="0.25">
      <c r="A263" s="5"/>
      <c r="B263" s="5"/>
      <c r="C263" s="5"/>
      <c r="D263" s="5"/>
      <c r="E263" s="5" t="s">
        <v>159</v>
      </c>
      <c r="F263" s="5"/>
      <c r="G263" s="6">
        <v>46052</v>
      </c>
      <c r="H263" s="5"/>
      <c r="I263" s="5" t="s">
        <v>197</v>
      </c>
      <c r="J263" s="5"/>
      <c r="K263" s="5"/>
      <c r="L263" s="5"/>
      <c r="M263" s="5" t="s">
        <v>247</v>
      </c>
      <c r="N263" s="5"/>
      <c r="O263" s="5" t="s">
        <v>62</v>
      </c>
      <c r="P263" s="5"/>
      <c r="Q263" s="7">
        <v>200</v>
      </c>
      <c r="R263" s="5"/>
      <c r="S263" s="7">
        <f>ROUND(S262+Q263,5)</f>
        <v>200</v>
      </c>
    </row>
    <row r="264" spans="1:19" x14ac:dyDescent="0.25">
      <c r="A264" s="5"/>
      <c r="B264" s="5"/>
      <c r="C264" s="5"/>
      <c r="D264" s="5"/>
      <c r="E264" s="5" t="s">
        <v>159</v>
      </c>
      <c r="F264" s="5"/>
      <c r="G264" s="6">
        <v>46081</v>
      </c>
      <c r="H264" s="5"/>
      <c r="I264" s="5" t="s">
        <v>197</v>
      </c>
      <c r="J264" s="5"/>
      <c r="K264" s="5"/>
      <c r="L264" s="5"/>
      <c r="M264" s="5" t="s">
        <v>247</v>
      </c>
      <c r="N264" s="5"/>
      <c r="O264" s="5" t="s">
        <v>62</v>
      </c>
      <c r="P264" s="5"/>
      <c r="Q264" s="7">
        <v>200</v>
      </c>
      <c r="R264" s="5"/>
      <c r="S264" s="7">
        <f>ROUND(S263+Q264,5)</f>
        <v>400</v>
      </c>
    </row>
    <row r="265" spans="1:19" ht="15.75" thickBot="1" x14ac:dyDescent="0.3">
      <c r="A265" s="5"/>
      <c r="B265" s="5"/>
      <c r="C265" s="5"/>
      <c r="D265" s="5"/>
      <c r="E265" s="5" t="s">
        <v>159</v>
      </c>
      <c r="F265" s="5"/>
      <c r="G265" s="6">
        <v>46112</v>
      </c>
      <c r="H265" s="5"/>
      <c r="I265" s="5" t="s">
        <v>197</v>
      </c>
      <c r="J265" s="5"/>
      <c r="K265" s="5"/>
      <c r="L265" s="5"/>
      <c r="M265" s="5" t="s">
        <v>247</v>
      </c>
      <c r="N265" s="5"/>
      <c r="O265" s="5" t="s">
        <v>62</v>
      </c>
      <c r="P265" s="5"/>
      <c r="Q265" s="8">
        <v>200</v>
      </c>
      <c r="R265" s="5"/>
      <c r="S265" s="8">
        <f>ROUND(S264+Q265,5)</f>
        <v>600</v>
      </c>
    </row>
    <row r="266" spans="1:19" x14ac:dyDescent="0.25">
      <c r="A266" s="5"/>
      <c r="B266" s="5" t="s">
        <v>147</v>
      </c>
      <c r="C266" s="5"/>
      <c r="D266" s="5"/>
      <c r="E266" s="5"/>
      <c r="F266" s="5"/>
      <c r="G266" s="6"/>
      <c r="H266" s="5"/>
      <c r="I266" s="5"/>
      <c r="J266" s="5"/>
      <c r="K266" s="5"/>
      <c r="L266" s="5"/>
      <c r="M266" s="5"/>
      <c r="N266" s="5"/>
      <c r="O266" s="5"/>
      <c r="P266" s="5"/>
      <c r="Q266" s="7">
        <f>ROUND(SUM(Q262:Q265),5)</f>
        <v>600</v>
      </c>
      <c r="R266" s="5"/>
      <c r="S266" s="7">
        <f>S265</f>
        <v>600</v>
      </c>
    </row>
    <row r="267" spans="1:19" x14ac:dyDescent="0.25">
      <c r="A267" s="2"/>
      <c r="B267" s="2" t="s">
        <v>148</v>
      </c>
      <c r="C267" s="2"/>
      <c r="D267" s="2"/>
      <c r="E267" s="2"/>
      <c r="F267" s="2"/>
      <c r="G267" s="4"/>
      <c r="H267" s="2"/>
      <c r="I267" s="2"/>
      <c r="J267" s="2"/>
      <c r="K267" s="2"/>
      <c r="L267" s="2"/>
      <c r="M267" s="2"/>
      <c r="N267" s="2"/>
      <c r="O267" s="2"/>
      <c r="P267" s="2"/>
      <c r="Q267" s="3"/>
      <c r="R267" s="2"/>
      <c r="S267" s="3">
        <v>0</v>
      </c>
    </row>
    <row r="268" spans="1:19" x14ac:dyDescent="0.25">
      <c r="A268" s="5"/>
      <c r="B268" s="5" t="s">
        <v>149</v>
      </c>
      <c r="C268" s="5"/>
      <c r="D268" s="5"/>
      <c r="E268" s="5"/>
      <c r="F268" s="5"/>
      <c r="G268" s="6"/>
      <c r="H268" s="5"/>
      <c r="I268" s="5"/>
      <c r="J268" s="5"/>
      <c r="K268" s="5"/>
      <c r="L268" s="5"/>
      <c r="M268" s="5"/>
      <c r="N268" s="5"/>
      <c r="O268" s="5"/>
      <c r="P268" s="5"/>
      <c r="Q268" s="7"/>
      <c r="R268" s="5"/>
      <c r="S268" s="7">
        <f>S267</f>
        <v>0</v>
      </c>
    </row>
    <row r="269" spans="1:19" x14ac:dyDescent="0.25">
      <c r="A269" s="2"/>
      <c r="B269" s="2" t="s">
        <v>150</v>
      </c>
      <c r="C269" s="2"/>
      <c r="D269" s="2"/>
      <c r="E269" s="2"/>
      <c r="F269" s="2"/>
      <c r="G269" s="4"/>
      <c r="H269" s="2"/>
      <c r="I269" s="2"/>
      <c r="J269" s="2"/>
      <c r="K269" s="2"/>
      <c r="L269" s="2"/>
      <c r="M269" s="2"/>
      <c r="N269" s="2"/>
      <c r="O269" s="2"/>
      <c r="P269" s="2"/>
      <c r="Q269" s="3"/>
      <c r="R269" s="2"/>
      <c r="S269" s="3">
        <v>0</v>
      </c>
    </row>
    <row r="270" spans="1:19" x14ac:dyDescent="0.25">
      <c r="A270" s="5"/>
      <c r="B270" s="5"/>
      <c r="C270" s="5"/>
      <c r="D270" s="5"/>
      <c r="E270" s="5" t="s">
        <v>157</v>
      </c>
      <c r="F270" s="5"/>
      <c r="G270" s="6">
        <v>46029</v>
      </c>
      <c r="H270" s="5"/>
      <c r="I270" s="5" t="s">
        <v>167</v>
      </c>
      <c r="J270" s="5"/>
      <c r="K270" s="5" t="s">
        <v>206</v>
      </c>
      <c r="L270" s="5"/>
      <c r="M270" s="5" t="s">
        <v>248</v>
      </c>
      <c r="N270" s="5"/>
      <c r="O270" s="5" t="s">
        <v>8</v>
      </c>
      <c r="P270" s="5"/>
      <c r="Q270" s="7">
        <v>148.59</v>
      </c>
      <c r="R270" s="5"/>
      <c r="S270" s="7">
        <f>ROUND(S269+Q270,5)</f>
        <v>148.59</v>
      </c>
    </row>
    <row r="271" spans="1:19" ht="15.75" thickBot="1" x14ac:dyDescent="0.3">
      <c r="A271" s="5"/>
      <c r="B271" s="5"/>
      <c r="C271" s="5"/>
      <c r="D271" s="5"/>
      <c r="E271" s="5" t="s">
        <v>157</v>
      </c>
      <c r="F271" s="5"/>
      <c r="G271" s="6">
        <v>46059</v>
      </c>
      <c r="H271" s="5"/>
      <c r="I271" s="5" t="s">
        <v>179</v>
      </c>
      <c r="J271" s="5"/>
      <c r="K271" s="5" t="s">
        <v>206</v>
      </c>
      <c r="L271" s="5"/>
      <c r="M271" s="5" t="s">
        <v>248</v>
      </c>
      <c r="N271" s="5"/>
      <c r="O271" s="5" t="s">
        <v>8</v>
      </c>
      <c r="P271" s="5"/>
      <c r="Q271" s="8">
        <v>81.37</v>
      </c>
      <c r="R271" s="5"/>
      <c r="S271" s="8">
        <f>ROUND(S270+Q271,5)</f>
        <v>229.96</v>
      </c>
    </row>
    <row r="272" spans="1:19" x14ac:dyDescent="0.25">
      <c r="A272" s="5"/>
      <c r="B272" s="5" t="s">
        <v>151</v>
      </c>
      <c r="C272" s="5"/>
      <c r="D272" s="5"/>
      <c r="E272" s="5"/>
      <c r="F272" s="5"/>
      <c r="G272" s="6"/>
      <c r="H272" s="5"/>
      <c r="I272" s="5"/>
      <c r="J272" s="5"/>
      <c r="K272" s="5"/>
      <c r="L272" s="5"/>
      <c r="M272" s="5"/>
      <c r="N272" s="5"/>
      <c r="O272" s="5"/>
      <c r="P272" s="5"/>
      <c r="Q272" s="7">
        <f>ROUND(SUM(Q269:Q271),5)</f>
        <v>229.96</v>
      </c>
      <c r="R272" s="5"/>
      <c r="S272" s="7">
        <f>S271</f>
        <v>229.96</v>
      </c>
    </row>
    <row r="273" spans="1:19" x14ac:dyDescent="0.25">
      <c r="A273" s="2"/>
      <c r="B273" s="2" t="s">
        <v>152</v>
      </c>
      <c r="C273" s="2"/>
      <c r="D273" s="2"/>
      <c r="E273" s="2"/>
      <c r="F273" s="2"/>
      <c r="G273" s="4"/>
      <c r="H273" s="2"/>
      <c r="I273" s="2"/>
      <c r="J273" s="2"/>
      <c r="K273" s="2"/>
      <c r="L273" s="2"/>
      <c r="M273" s="2"/>
      <c r="N273" s="2"/>
      <c r="O273" s="2"/>
      <c r="P273" s="2"/>
      <c r="Q273" s="3"/>
      <c r="R273" s="2"/>
      <c r="S273" s="3">
        <v>0</v>
      </c>
    </row>
    <row r="274" spans="1:19" x14ac:dyDescent="0.25">
      <c r="A274" s="5"/>
      <c r="B274" s="5" t="s">
        <v>153</v>
      </c>
      <c r="C274" s="5"/>
      <c r="D274" s="5"/>
      <c r="E274" s="5"/>
      <c r="F274" s="5"/>
      <c r="G274" s="6"/>
      <c r="H274" s="5"/>
      <c r="I274" s="5"/>
      <c r="J274" s="5"/>
      <c r="K274" s="5"/>
      <c r="L274" s="5"/>
      <c r="M274" s="5"/>
      <c r="N274" s="5"/>
      <c r="O274" s="5"/>
      <c r="P274" s="5"/>
      <c r="Q274" s="7"/>
      <c r="R274" s="5"/>
      <c r="S274" s="7">
        <f>S273</f>
        <v>0</v>
      </c>
    </row>
    <row r="275" spans="1:19" x14ac:dyDescent="0.25">
      <c r="A275" s="2"/>
      <c r="B275" s="2" t="s">
        <v>154</v>
      </c>
      <c r="C275" s="2"/>
      <c r="D275" s="2"/>
      <c r="E275" s="2"/>
      <c r="F275" s="2"/>
      <c r="G275" s="4"/>
      <c r="H275" s="2"/>
      <c r="I275" s="2"/>
      <c r="J275" s="2"/>
      <c r="K275" s="2"/>
      <c r="L275" s="2"/>
      <c r="M275" s="2"/>
      <c r="N275" s="2"/>
      <c r="O275" s="2"/>
      <c r="P275" s="2"/>
      <c r="Q275" s="3"/>
      <c r="R275" s="2"/>
      <c r="S275" s="3">
        <v>0</v>
      </c>
    </row>
    <row r="276" spans="1:19" ht="15.75" thickBot="1" x14ac:dyDescent="0.3">
      <c r="A276" s="5"/>
      <c r="B276" s="5" t="s">
        <v>155</v>
      </c>
      <c r="C276" s="5"/>
      <c r="D276" s="5"/>
      <c r="E276" s="5"/>
      <c r="F276" s="5"/>
      <c r="G276" s="6"/>
      <c r="H276" s="5"/>
      <c r="I276" s="5"/>
      <c r="J276" s="5"/>
      <c r="K276" s="5"/>
      <c r="L276" s="5"/>
      <c r="M276" s="5"/>
      <c r="N276" s="5"/>
      <c r="O276" s="5"/>
      <c r="P276" s="5"/>
      <c r="Q276" s="9"/>
      <c r="R276" s="5"/>
      <c r="S276" s="9">
        <f>S275</f>
        <v>0</v>
      </c>
    </row>
    <row r="277" spans="1:19" s="11" customFormat="1" ht="12" thickBot="1" x14ac:dyDescent="0.25">
      <c r="A277" s="2" t="s">
        <v>156</v>
      </c>
      <c r="B277" s="2"/>
      <c r="C277" s="2"/>
      <c r="D277" s="2"/>
      <c r="E277" s="2"/>
      <c r="F277" s="2"/>
      <c r="G277" s="4"/>
      <c r="H277" s="2"/>
      <c r="I277" s="2"/>
      <c r="J277" s="2"/>
      <c r="K277" s="2"/>
      <c r="L277" s="2"/>
      <c r="M277" s="2"/>
      <c r="N277" s="2"/>
      <c r="O277" s="2"/>
      <c r="P277" s="2"/>
      <c r="Q277" s="10">
        <f>ROUND(Q56+Q58+Q60+Q62+Q64+Q67+Q69+Q71+Q73+Q75+Q77+Q79+Q81+Q83+Q85+Q87+Q89+Q91+Q93+Q95+Q97+Q99+Q101+Q103+Q105+Q107+Q109+Q127+Q129+Q131+Q133+Q137+Q139+Q141+Q143+Q145+Q147+Q149+Q154+Q156+Q158+Q160+Q165+Q167+Q169+Q171+Q173+Q181+Q183+Q188+Q191+Q199+Q201+Q215+Q217+Q228+Q233+Q236+Q240+Q242+Q244+Q246+Q248+Q250+Q252+Q255+Q257+Q259+Q261+Q266+Q268+Q272+Q274+Q276,5)</f>
        <v>0</v>
      </c>
      <c r="R277" s="2"/>
      <c r="S277" s="10">
        <f>ROUND(S56+S58+S60+S62+S64+S67+S69+S71+S73+S75+S77+S79+S81+S83+S85+S87+S89+S91+S93+S95+S97+S99+S101+S103+S105+S107+S109+S127+S129+S131+S133+S137+S139+S141+S143+S145+S147+S149+S154+S156+S158+S160+S165+S167+S169+S171+S173+S181+S183+S188+S191+S199+S201+S215+S217+S228+S233+S236+S240+S242+S244+S246+S248+S250+S252+S255+S257+S259+S261+S266+S268+S272+S274+S276,5)</f>
        <v>0</v>
      </c>
    </row>
    <row r="278" spans="1:19" ht="15.75" thickTop="1" x14ac:dyDescent="0.25"/>
  </sheetData>
  <pageMargins left="0.7" right="0.7" top="0.75" bottom="0.75" header="0.1" footer="0.3"/>
  <pageSetup orientation="portrait" r:id="rId1"/>
  <headerFooter>
    <oddHeader>&amp;L&amp;"Arial,Bold"&amp;8 1:49 PM
&amp;"Arial,Bold"&amp;8 03/27/26
&amp;"Arial,Bold"&amp;8 Accrual Basis&amp;C&amp;"Arial,Bold"&amp;12 WILEY SANITATION DISTRICT
&amp;"Arial,Bold"&amp;14 General Ledger
&amp;"Arial,Bold"&amp;10 As of December 31, 2026</oddHeader>
    <oddFooter>&amp;R&amp;"Arial,Bold"&amp;8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QuickBooks Desktop Export Tips</vt:lpstr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Debbie Dillon</dc:creator>
  <cp:lastModifiedBy>Debbie Dillon</cp:lastModifiedBy>
  <dcterms:created xsi:type="dcterms:W3CDTF">2026-03-27T19:49:28Z</dcterms:created>
  <dcterms:modified xsi:type="dcterms:W3CDTF">2026-03-27T19:51:24Z</dcterms:modified>
</cp:coreProperties>
</file>